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ton-my.sharepoint.com/personal/amolsgavali_eaton_com/Documents/Documents/3 Per/Flat Doc/Vyom Sigma/"/>
    </mc:Choice>
  </mc:AlternateContent>
  <xr:revisionPtr revIDLastSave="1004" documentId="8_{FAD59A3B-C875-4E4E-AA7E-F917FFF281D9}" xr6:coauthVersionLast="47" xr6:coauthVersionMax="47" xr10:uidLastSave="{EE34EB6E-A112-4B33-8274-246E14322DA8}"/>
  <bookViews>
    <workbookView xWindow="-110" yWindow="-110" windowWidth="19420" windowHeight="10300" activeTab="3" xr2:uid="{3865D31C-B32A-4137-BFE6-09CC621FCA70}"/>
  </bookViews>
  <sheets>
    <sheet name="Payment" sheetId="3" r:id="rId1"/>
    <sheet name="Calculation" sheetId="2" r:id="rId2"/>
    <sheet name="Given" sheetId="6" r:id="rId3"/>
    <sheet name="Sarswat" sheetId="4" r:id="rId4"/>
    <sheet name="Sheet1" sheetId="1" r:id="rId5"/>
    <sheet name="Sheet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4" l="1"/>
  <c r="M9" i="4"/>
  <c r="J9" i="4"/>
  <c r="J13" i="4"/>
  <c r="J10" i="4"/>
  <c r="K1" i="4"/>
  <c r="J33" i="4"/>
  <c r="I33" i="4"/>
  <c r="E10" i="7"/>
  <c r="F4" i="7" l="1"/>
  <c r="E4" i="7"/>
  <c r="C1" i="6"/>
  <c r="I1" i="6" s="1"/>
  <c r="K2" i="3"/>
  <c r="E2" i="2"/>
  <c r="F2" i="2" s="1"/>
  <c r="F5" i="6"/>
  <c r="E6" i="2"/>
  <c r="F7" i="2" s="1"/>
  <c r="C5" i="6"/>
  <c r="M5" i="2"/>
  <c r="N5" i="2" s="1"/>
  <c r="N2" i="2" s="1"/>
  <c r="A2" i="2"/>
  <c r="F6" i="2"/>
  <c r="H1" i="4"/>
  <c r="B1" i="4"/>
  <c r="E1" i="4"/>
  <c r="M22" i="3"/>
  <c r="D3" i="3"/>
  <c r="I20" i="3"/>
  <c r="C3" i="3"/>
  <c r="M4" i="2"/>
  <c r="B27" i="2"/>
  <c r="K12" i="3" l="1"/>
  <c r="L12" i="3" s="1"/>
  <c r="M12" i="3" s="1"/>
  <c r="K13" i="3"/>
  <c r="K4" i="3"/>
  <c r="K9" i="3"/>
  <c r="L9" i="3" s="1"/>
  <c r="M9" i="3" s="1"/>
  <c r="K11" i="3"/>
  <c r="L11" i="3" s="1"/>
  <c r="M11" i="3" s="1"/>
  <c r="K10" i="3"/>
  <c r="L10" i="3" s="1"/>
  <c r="M10" i="3" s="1"/>
  <c r="K18" i="3"/>
  <c r="L18" i="3" s="1"/>
  <c r="M18" i="3" s="1"/>
  <c r="K17" i="3"/>
  <c r="L17" i="3" s="1"/>
  <c r="M17" i="3" s="1"/>
  <c r="K8" i="3"/>
  <c r="L8" i="3" s="1"/>
  <c r="M8" i="3" s="1"/>
  <c r="K6" i="3"/>
  <c r="L6" i="3" s="1"/>
  <c r="M6" i="3" s="1"/>
  <c r="K5" i="3"/>
  <c r="L5" i="3" s="1"/>
  <c r="M5" i="3" s="1"/>
  <c r="K16" i="3"/>
  <c r="L16" i="3" s="1"/>
  <c r="M16" i="3" s="1"/>
  <c r="K7" i="3"/>
  <c r="L7" i="3" s="1"/>
  <c r="M7" i="3" s="1"/>
  <c r="K15" i="3"/>
  <c r="L15" i="3" s="1"/>
  <c r="M15" i="3" s="1"/>
  <c r="K14" i="3"/>
  <c r="L14" i="3" s="1"/>
  <c r="M14" i="3" s="1"/>
  <c r="K19" i="3"/>
  <c r="L19" i="3" s="1"/>
  <c r="M19" i="3" s="1"/>
  <c r="L13" i="3"/>
  <c r="M13" i="3" s="1"/>
  <c r="C6" i="3"/>
  <c r="C4" i="3"/>
  <c r="D5" i="3"/>
  <c r="C5" i="3"/>
  <c r="F5" i="3" s="1"/>
  <c r="M2" i="2"/>
  <c r="O2" i="2" s="1"/>
  <c r="Q2" i="2" l="1"/>
  <c r="Q4" i="2" s="1"/>
  <c r="P2" i="2"/>
  <c r="L4" i="3"/>
  <c r="M4" i="3" s="1"/>
  <c r="K20" i="3"/>
  <c r="C9" i="3"/>
  <c r="C11" i="3" s="1"/>
  <c r="F4" i="3"/>
  <c r="B15" i="1"/>
  <c r="B14" i="1"/>
  <c r="C13" i="1"/>
  <c r="D13" i="1" s="1"/>
  <c r="C4" i="1"/>
  <c r="C3" i="1" s="1"/>
  <c r="B6" i="1"/>
  <c r="B5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4" i="1"/>
  <c r="T3" i="1"/>
  <c r="C12" i="1" l="1"/>
  <c r="L20" i="3"/>
  <c r="M20" i="3" s="1"/>
  <c r="D9" i="3"/>
  <c r="D11" i="3" s="1"/>
  <c r="B18" i="1"/>
  <c r="B20" i="1" s="1"/>
  <c r="C14" i="1"/>
  <c r="C18" i="1" s="1"/>
  <c r="D18" i="1" s="1"/>
  <c r="C15" i="1"/>
  <c r="D4" i="1"/>
  <c r="B9" i="1"/>
  <c r="C5" i="1"/>
  <c r="C6" i="1"/>
  <c r="C9" i="1" s="1"/>
  <c r="H14" i="1"/>
  <c r="H8" i="1"/>
  <c r="H9" i="1"/>
  <c r="H12" i="1"/>
  <c r="I12" i="1" s="1"/>
  <c r="J12" i="1" s="1"/>
  <c r="H10" i="1"/>
  <c r="H16" i="1"/>
  <c r="H15" i="1"/>
  <c r="H7" i="1"/>
  <c r="H13" i="1"/>
  <c r="H20" i="1"/>
  <c r="I20" i="1" s="1"/>
  <c r="J20" i="1" s="1"/>
  <c r="H6" i="1"/>
  <c r="H4" i="1"/>
  <c r="H19" i="1"/>
  <c r="H11" i="1"/>
  <c r="H18" i="1"/>
  <c r="H17" i="1"/>
  <c r="F11" i="3" l="1"/>
  <c r="D13" i="3"/>
  <c r="D9" i="1"/>
  <c r="I4" i="1"/>
  <c r="J4" i="1" s="1"/>
  <c r="I16" i="1"/>
  <c r="J16" i="1" s="1"/>
  <c r="I10" i="1"/>
  <c r="J10" i="1" s="1"/>
  <c r="I6" i="1"/>
  <c r="J6" i="1" s="1"/>
  <c r="I13" i="1"/>
  <c r="J13" i="1" s="1"/>
  <c r="I14" i="1"/>
  <c r="J14" i="1" s="1"/>
  <c r="I11" i="1"/>
  <c r="J11" i="1" s="1"/>
  <c r="I9" i="1"/>
  <c r="J9" i="1"/>
  <c r="I8" i="1"/>
  <c r="J8" i="1" s="1"/>
  <c r="I17" i="1"/>
  <c r="J17" i="1" s="1"/>
  <c r="I7" i="1"/>
  <c r="J7" i="1" s="1"/>
  <c r="I19" i="1"/>
  <c r="J19" i="1"/>
  <c r="I18" i="1"/>
  <c r="J18" i="1" s="1"/>
  <c r="I15" i="1"/>
  <c r="J15" i="1" s="1"/>
</calcChain>
</file>

<file path=xl/sharedStrings.xml><?xml version="1.0" encoding="utf-8"?>
<sst xmlns="http://schemas.openxmlformats.org/spreadsheetml/2006/main" count="115" uniqueCount="61">
  <si>
    <t xml:space="preserve"> </t>
  </si>
  <si>
    <t>1 yrs</t>
  </si>
  <si>
    <t>2yrs</t>
  </si>
  <si>
    <t>Total</t>
  </si>
  <si>
    <t>Priti</t>
  </si>
  <si>
    <t>Cheaque</t>
  </si>
  <si>
    <t>Cash</t>
  </si>
  <si>
    <t>Dhanu</t>
  </si>
  <si>
    <t>Donation Cash</t>
  </si>
  <si>
    <t>Amol</t>
  </si>
  <si>
    <t>Avi</t>
  </si>
  <si>
    <t>Amit</t>
  </si>
  <si>
    <t>Stam Duty</t>
  </si>
  <si>
    <t>NEFT</t>
  </si>
  <si>
    <t>Phad</t>
  </si>
  <si>
    <t>Icici</t>
  </si>
  <si>
    <t>Axis</t>
  </si>
  <si>
    <t>Paid</t>
  </si>
  <si>
    <t>Registration</t>
  </si>
  <si>
    <t>Saving</t>
  </si>
  <si>
    <t>Base</t>
  </si>
  <si>
    <t xml:space="preserve">Stam Duty </t>
  </si>
  <si>
    <t>GST</t>
  </si>
  <si>
    <t>TDS</t>
  </si>
  <si>
    <t>Payment</t>
  </si>
  <si>
    <t>SDR</t>
  </si>
  <si>
    <t>Om</t>
  </si>
  <si>
    <t>Saee</t>
  </si>
  <si>
    <t>30/9/2025</t>
  </si>
  <si>
    <t>23/2/2026</t>
  </si>
  <si>
    <t>15/3/2026</t>
  </si>
  <si>
    <t>13/8/2025</t>
  </si>
  <si>
    <t>2nd Installment</t>
  </si>
  <si>
    <t>Final</t>
  </si>
  <si>
    <t>14/10/2025</t>
  </si>
  <si>
    <t>13/9/2026</t>
  </si>
  <si>
    <t>Tax</t>
  </si>
  <si>
    <t>1st Cheaque</t>
  </si>
  <si>
    <t>2nd Cheaque</t>
  </si>
  <si>
    <t>3rd Cheaque</t>
  </si>
  <si>
    <t>3rd Installment</t>
  </si>
  <si>
    <t>4th Installment</t>
  </si>
  <si>
    <t>1st Installment</t>
  </si>
  <si>
    <t>Cash +Stam</t>
  </si>
  <si>
    <t>4th Cheaque</t>
  </si>
  <si>
    <t>Amol Axis Bank</t>
  </si>
  <si>
    <t>Priti Icici bank</t>
  </si>
  <si>
    <t>Number</t>
  </si>
  <si>
    <t>%</t>
  </si>
  <si>
    <t>Bank</t>
  </si>
  <si>
    <t>Date</t>
  </si>
  <si>
    <t>Cheque Number</t>
  </si>
  <si>
    <t>5th Cheaque</t>
  </si>
  <si>
    <t>Sar</t>
  </si>
  <si>
    <t>IMPS</t>
  </si>
  <si>
    <t>14/08/2026</t>
  </si>
  <si>
    <t>15/04/2026</t>
  </si>
  <si>
    <t>5th Installment</t>
  </si>
  <si>
    <t>6th Installment</t>
  </si>
  <si>
    <t>Salary</t>
  </si>
  <si>
    <t>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</si>
</sst>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9" fontId="0" fillId="0" borderId="0" xfId="0" applyNumberFormat="1"/>
    <xf numFmtId="3" fontId="0" fillId="0" borderId="0" xfId="0" applyNumberFormat="1"/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9" fontId="0" fillId="3" borderId="0" xfId="0" applyNumberFormat="1" applyFill="1"/>
    <xf numFmtId="0" fontId="0" fillId="3" borderId="0" xfId="0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right"/>
    </xf>
    <xf numFmtId="9" fontId="0" fillId="5" borderId="0" xfId="0" applyNumberFormat="1" applyFill="1"/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/>
    </xf>
    <xf numFmtId="1" fontId="0" fillId="8" borderId="0" xfId="0" applyNumberFormat="1" applyFill="1"/>
    <xf numFmtId="0" fontId="0" fillId="8" borderId="0" xfId="0" applyFill="1"/>
    <xf numFmtId="0" fontId="1" fillId="8" borderId="0" xfId="0" applyFont="1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9" fontId="0" fillId="11" borderId="0" xfId="0" applyNumberFormat="1" applyFill="1"/>
    <xf numFmtId="1" fontId="0" fillId="11" borderId="0" xfId="0" applyNumberFormat="1" applyFill="1"/>
    <xf numFmtId="0" fontId="2" fillId="12" borderId="0" xfId="0" applyFont="1" applyFill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14" fontId="0" fillId="13" borderId="1" xfId="0" applyNumberFormat="1" applyFill="1" applyBorder="1"/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/>
    <xf numFmtId="0" fontId="1" fillId="9" borderId="0" xfId="0" applyFont="1" applyFill="1" applyAlignment="1">
      <alignment horizontal="center"/>
    </xf>
    <xf numFmtId="9" fontId="0" fillId="11" borderId="0" xfId="1" applyFont="1" applyFill="1"/>
    <xf numFmtId="9" fontId="0" fillId="2" borderId="0" xfId="0" applyNumberFormat="1" applyFill="1"/>
    <xf numFmtId="0" fontId="1" fillId="11" borderId="0" xfId="0" applyFont="1" applyFill="1"/>
    <xf numFmtId="14" fontId="0" fillId="0" borderId="0" xfId="0" applyNumberForma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DBAB-414B-4B6D-93D1-F8A175DB7BE5}">
  <dimension ref="A1:R39"/>
  <sheetViews>
    <sheetView topLeftCell="C1" workbookViewId="0">
      <selection activeCell="M9" sqref="M9:M10"/>
    </sheetView>
  </sheetViews>
  <sheetFormatPr defaultRowHeight="14.5" x14ac:dyDescent="0.35"/>
  <cols>
    <col min="1" max="1" width="9.453125" bestFit="1" customWidth="1"/>
    <col min="2" max="2" width="10.54296875" bestFit="1" customWidth="1"/>
    <col min="3" max="3" width="10.36328125" customWidth="1"/>
    <col min="4" max="4" width="16.90625" customWidth="1"/>
    <col min="5" max="5" width="6.26953125" customWidth="1"/>
    <col min="6" max="6" width="6.81640625" hidden="1" customWidth="1"/>
    <col min="7" max="7" width="8.7265625" customWidth="1"/>
    <col min="8" max="8" width="7.81640625" customWidth="1"/>
    <col min="9" max="9" width="9.6328125" customWidth="1"/>
    <col min="10" max="10" width="11.81640625" bestFit="1" customWidth="1"/>
    <col min="11" max="11" width="10.08984375" customWidth="1"/>
    <col min="12" max="12" width="9.81640625" bestFit="1" customWidth="1"/>
    <col min="13" max="13" width="14.1796875" customWidth="1"/>
    <col min="14" max="14" width="13" bestFit="1" customWidth="1"/>
    <col min="15" max="15" width="10.08984375" bestFit="1" customWidth="1"/>
    <col min="16" max="16" width="14.54296875" bestFit="1" customWidth="1"/>
  </cols>
  <sheetData>
    <row r="1" spans="1:18" x14ac:dyDescent="0.35">
      <c r="C1" s="40" t="s">
        <v>33</v>
      </c>
      <c r="D1" s="40"/>
    </row>
    <row r="2" spans="1:18" x14ac:dyDescent="0.35">
      <c r="C2" s="18" t="s">
        <v>20</v>
      </c>
      <c r="D2" s="19" t="s">
        <v>0</v>
      </c>
      <c r="K2" s="4">
        <f>D3</f>
        <v>11583500</v>
      </c>
      <c r="N2" t="s">
        <v>0</v>
      </c>
    </row>
    <row r="3" spans="1:18" x14ac:dyDescent="0.35">
      <c r="C3" s="4">
        <f>14083500</f>
        <v>14083500</v>
      </c>
      <c r="D3" s="4">
        <f>C3-2500000</f>
        <v>11583500</v>
      </c>
      <c r="E3" s="4"/>
      <c r="F3" s="22" t="s">
        <v>19</v>
      </c>
      <c r="G3" s="10"/>
      <c r="H3" s="17" t="s">
        <v>47</v>
      </c>
      <c r="I3" s="17" t="s">
        <v>48</v>
      </c>
      <c r="J3" s="17"/>
      <c r="K3" s="17" t="s">
        <v>24</v>
      </c>
      <c r="L3" s="17" t="s">
        <v>22</v>
      </c>
      <c r="M3" s="17" t="s">
        <v>3</v>
      </c>
      <c r="N3" s="17" t="s">
        <v>49</v>
      </c>
      <c r="O3" s="17" t="s">
        <v>50</v>
      </c>
      <c r="P3" s="17" t="s">
        <v>51</v>
      </c>
    </row>
    <row r="4" spans="1:18" x14ac:dyDescent="0.35">
      <c r="A4" t="s">
        <v>21</v>
      </c>
      <c r="B4" s="1">
        <v>7.0000000000000007E-2</v>
      </c>
      <c r="C4" s="3">
        <f>C3*B4</f>
        <v>985845.00000000012</v>
      </c>
      <c r="D4">
        <v>810900</v>
      </c>
      <c r="E4" t="s">
        <v>17</v>
      </c>
      <c r="F4" s="20">
        <f>C4-D4</f>
        <v>174945.00000000012</v>
      </c>
      <c r="G4" s="3"/>
      <c r="H4" s="25">
        <v>1</v>
      </c>
      <c r="I4" s="26">
        <v>0.05</v>
      </c>
      <c r="J4" s="25"/>
      <c r="K4" s="25">
        <f>K2*I4</f>
        <v>579175</v>
      </c>
      <c r="L4" s="25">
        <f t="shared" ref="L4:L20" si="0">K4*5%</f>
        <v>28958.75</v>
      </c>
      <c r="M4" s="27">
        <f t="shared" ref="M4:M20" si="1">K4+L4</f>
        <v>608133.75</v>
      </c>
      <c r="N4" t="s">
        <v>46</v>
      </c>
      <c r="O4" s="13"/>
      <c r="P4" s="3"/>
    </row>
    <row r="5" spans="1:18" x14ac:dyDescent="0.35">
      <c r="A5" t="s">
        <v>22</v>
      </c>
      <c r="B5" s="1">
        <v>0.05</v>
      </c>
      <c r="C5" s="3">
        <f>C3*B5</f>
        <v>704175</v>
      </c>
      <c r="D5">
        <f>D3*B5</f>
        <v>579175</v>
      </c>
      <c r="F5" s="20">
        <f>C5-D5</f>
        <v>125000</v>
      </c>
      <c r="G5" s="3"/>
      <c r="H5" s="25">
        <v>2</v>
      </c>
      <c r="I5" s="26">
        <v>0.25</v>
      </c>
      <c r="J5" s="25"/>
      <c r="K5" s="25">
        <f>K2*I5</f>
        <v>2895875</v>
      </c>
      <c r="L5" s="25">
        <f t="shared" si="0"/>
        <v>144793.75</v>
      </c>
      <c r="M5" s="27">
        <f t="shared" si="1"/>
        <v>3040668.75</v>
      </c>
      <c r="N5" t="s">
        <v>46</v>
      </c>
      <c r="R5" s="3"/>
    </row>
    <row r="6" spans="1:18" x14ac:dyDescent="0.35">
      <c r="A6" t="s">
        <v>23</v>
      </c>
      <c r="B6" s="1">
        <v>0.01</v>
      </c>
      <c r="C6">
        <f>C3*B6</f>
        <v>140835</v>
      </c>
      <c r="D6">
        <v>0</v>
      </c>
      <c r="F6" s="21">
        <v>0</v>
      </c>
      <c r="H6" s="25">
        <v>3</v>
      </c>
      <c r="I6" s="36">
        <v>0.05</v>
      </c>
      <c r="J6" s="25"/>
      <c r="K6" s="25">
        <f>K2*I6</f>
        <v>579175</v>
      </c>
      <c r="L6" s="25">
        <f t="shared" si="0"/>
        <v>28958.75</v>
      </c>
      <c r="M6" s="27">
        <f t="shared" si="1"/>
        <v>608133.75</v>
      </c>
      <c r="N6" t="s">
        <v>46</v>
      </c>
      <c r="O6" s="3"/>
      <c r="Q6" s="1"/>
    </row>
    <row r="7" spans="1:18" x14ac:dyDescent="0.35">
      <c r="B7" t="s">
        <v>18</v>
      </c>
      <c r="C7">
        <v>30000</v>
      </c>
      <c r="D7">
        <v>30000</v>
      </c>
      <c r="H7" s="25">
        <v>4</v>
      </c>
      <c r="I7" s="36">
        <v>0.05</v>
      </c>
      <c r="J7" s="25"/>
      <c r="K7" s="25">
        <f>K2*I7</f>
        <v>579175</v>
      </c>
      <c r="L7" s="25">
        <f t="shared" si="0"/>
        <v>28958.75</v>
      </c>
      <c r="M7" s="27">
        <f t="shared" si="1"/>
        <v>608133.75</v>
      </c>
      <c r="N7" t="s">
        <v>45</v>
      </c>
    </row>
    <row r="8" spans="1:18" x14ac:dyDescent="0.35">
      <c r="H8" s="25">
        <v>5</v>
      </c>
      <c r="I8" s="36">
        <v>0.05</v>
      </c>
      <c r="J8" s="25"/>
      <c r="K8" s="25">
        <f t="shared" ref="K8:K19" si="2">K$2*I8</f>
        <v>579175</v>
      </c>
      <c r="L8" s="25">
        <f t="shared" si="0"/>
        <v>28958.75</v>
      </c>
      <c r="M8" s="27">
        <f t="shared" si="1"/>
        <v>608133.75</v>
      </c>
      <c r="N8" t="s">
        <v>45</v>
      </c>
      <c r="O8" s="39">
        <v>46327</v>
      </c>
      <c r="P8">
        <v>223848</v>
      </c>
      <c r="R8" s="3"/>
    </row>
    <row r="9" spans="1:18" x14ac:dyDescent="0.35">
      <c r="B9" s="9" t="s">
        <v>3</v>
      </c>
      <c r="C9" s="5">
        <f>SUM(C3:C7)-C6</f>
        <v>15803520</v>
      </c>
      <c r="D9" s="5">
        <f>SUM(D3:D7)-D6</f>
        <v>13003575</v>
      </c>
      <c r="E9" s="5"/>
      <c r="H9" s="25">
        <v>6</v>
      </c>
      <c r="I9" s="36">
        <v>0.04</v>
      </c>
      <c r="J9" s="25"/>
      <c r="K9" s="25">
        <f t="shared" si="2"/>
        <v>463340</v>
      </c>
      <c r="L9" s="25">
        <f t="shared" si="0"/>
        <v>23167</v>
      </c>
      <c r="M9" s="25">
        <f t="shared" si="1"/>
        <v>486507</v>
      </c>
      <c r="N9" t="s">
        <v>45</v>
      </c>
      <c r="O9" s="39" t="s">
        <v>56</v>
      </c>
    </row>
    <row r="10" spans="1:18" x14ac:dyDescent="0.35">
      <c r="D10">
        <v>2500000</v>
      </c>
      <c r="H10" s="25">
        <v>7</v>
      </c>
      <c r="I10" s="36">
        <v>0.04</v>
      </c>
      <c r="J10" s="25"/>
      <c r="K10" s="25">
        <f t="shared" si="2"/>
        <v>463340</v>
      </c>
      <c r="L10" s="25">
        <f t="shared" si="0"/>
        <v>23167</v>
      </c>
      <c r="M10" s="25">
        <f t="shared" si="1"/>
        <v>486507</v>
      </c>
      <c r="N10" t="s">
        <v>45</v>
      </c>
      <c r="O10" t="s">
        <v>55</v>
      </c>
      <c r="P10" t="s">
        <v>54</v>
      </c>
    </row>
    <row r="11" spans="1:18" x14ac:dyDescent="0.35">
      <c r="C11">
        <f>C9</f>
        <v>15803520</v>
      </c>
      <c r="D11">
        <f>D9+D10</f>
        <v>15503575</v>
      </c>
      <c r="F11">
        <f>C11-D11</f>
        <v>299945</v>
      </c>
      <c r="H11">
        <v>8</v>
      </c>
      <c r="I11" s="1">
        <v>0.04</v>
      </c>
      <c r="K11">
        <f t="shared" si="2"/>
        <v>463340</v>
      </c>
      <c r="L11">
        <f t="shared" si="0"/>
        <v>23167</v>
      </c>
      <c r="M11">
        <f t="shared" si="1"/>
        <v>486507</v>
      </c>
    </row>
    <row r="12" spans="1:18" x14ac:dyDescent="0.35">
      <c r="H12">
        <v>9</v>
      </c>
      <c r="I12" s="1">
        <v>0.04</v>
      </c>
      <c r="K12">
        <f t="shared" si="2"/>
        <v>463340</v>
      </c>
      <c r="L12">
        <f t="shared" si="0"/>
        <v>23167</v>
      </c>
      <c r="M12">
        <f t="shared" si="1"/>
        <v>486507</v>
      </c>
      <c r="R12">
        <v>7</v>
      </c>
    </row>
    <row r="13" spans="1:18" x14ac:dyDescent="0.35">
      <c r="D13">
        <f>D11-F6</f>
        <v>15503575</v>
      </c>
      <c r="H13">
        <v>10</v>
      </c>
      <c r="I13" s="1">
        <v>0.04</v>
      </c>
      <c r="K13">
        <f t="shared" si="2"/>
        <v>463340</v>
      </c>
      <c r="L13">
        <f t="shared" si="0"/>
        <v>23167</v>
      </c>
      <c r="M13">
        <f t="shared" si="1"/>
        <v>486507</v>
      </c>
      <c r="R13">
        <v>2</v>
      </c>
    </row>
    <row r="14" spans="1:18" x14ac:dyDescent="0.35">
      <c r="H14">
        <v>11</v>
      </c>
      <c r="I14" s="1">
        <v>0.05</v>
      </c>
      <c r="K14">
        <f t="shared" si="2"/>
        <v>579175</v>
      </c>
      <c r="L14">
        <f t="shared" si="0"/>
        <v>28958.75</v>
      </c>
      <c r="M14">
        <f t="shared" si="1"/>
        <v>608133.75</v>
      </c>
    </row>
    <row r="15" spans="1:18" x14ac:dyDescent="0.35">
      <c r="H15">
        <v>12</v>
      </c>
      <c r="I15" s="1">
        <v>0.05</v>
      </c>
      <c r="K15">
        <f t="shared" si="2"/>
        <v>579175</v>
      </c>
      <c r="L15">
        <f t="shared" si="0"/>
        <v>28958.75</v>
      </c>
      <c r="M15">
        <f t="shared" si="1"/>
        <v>608133.75</v>
      </c>
      <c r="O15" s="3"/>
    </row>
    <row r="16" spans="1:18" x14ac:dyDescent="0.35">
      <c r="H16">
        <v>13</v>
      </c>
      <c r="I16" s="1">
        <v>0.05</v>
      </c>
      <c r="K16">
        <f t="shared" si="2"/>
        <v>579175</v>
      </c>
      <c r="L16">
        <f t="shared" si="0"/>
        <v>28958.75</v>
      </c>
      <c r="M16">
        <f t="shared" si="1"/>
        <v>608133.75</v>
      </c>
      <c r="P16" s="3"/>
    </row>
    <row r="17" spans="3:13" x14ac:dyDescent="0.35">
      <c r="H17">
        <v>14</v>
      </c>
      <c r="I17" s="1">
        <v>0.05</v>
      </c>
      <c r="K17">
        <f t="shared" si="2"/>
        <v>579175</v>
      </c>
      <c r="L17">
        <f t="shared" si="0"/>
        <v>28958.75</v>
      </c>
      <c r="M17">
        <f t="shared" si="1"/>
        <v>608133.75</v>
      </c>
    </row>
    <row r="18" spans="3:13" x14ac:dyDescent="0.35">
      <c r="C18" s="1"/>
      <c r="D18" s="1"/>
      <c r="H18" s="30">
        <v>15</v>
      </c>
      <c r="I18" s="37">
        <v>0.1</v>
      </c>
      <c r="J18" s="30"/>
      <c r="K18" s="30">
        <f t="shared" si="2"/>
        <v>1158350</v>
      </c>
      <c r="L18" s="30">
        <f t="shared" si="0"/>
        <v>57917.5</v>
      </c>
      <c r="M18" s="30">
        <f t="shared" si="1"/>
        <v>1216267.5</v>
      </c>
    </row>
    <row r="19" spans="3:13" x14ac:dyDescent="0.35">
      <c r="H19">
        <v>16</v>
      </c>
      <c r="I19" s="1">
        <v>0.05</v>
      </c>
      <c r="K19">
        <f t="shared" si="2"/>
        <v>579175</v>
      </c>
      <c r="L19">
        <f t="shared" si="0"/>
        <v>28958.75</v>
      </c>
      <c r="M19">
        <f t="shared" si="1"/>
        <v>608133.75</v>
      </c>
    </row>
    <row r="20" spans="3:13" x14ac:dyDescent="0.35">
      <c r="I20" s="15">
        <f>SUM(I4:I19)</f>
        <v>1.0000000000000002</v>
      </c>
      <c r="J20" s="16"/>
      <c r="K20" s="16">
        <f>SUM(K4:K19)</f>
        <v>11583500</v>
      </c>
      <c r="L20" s="16">
        <f t="shared" si="0"/>
        <v>579175</v>
      </c>
      <c r="M20" s="16">
        <f t="shared" si="1"/>
        <v>12162675</v>
      </c>
    </row>
    <row r="22" spans="3:13" x14ac:dyDescent="0.35">
      <c r="L22" t="s">
        <v>25</v>
      </c>
      <c r="M22">
        <f>D4+D7</f>
        <v>840900</v>
      </c>
    </row>
    <row r="23" spans="3:13" x14ac:dyDescent="0.35">
      <c r="C23" t="s">
        <v>0</v>
      </c>
    </row>
    <row r="24" spans="3:13" x14ac:dyDescent="0.35">
      <c r="C24" s="14"/>
      <c r="D24" s="14"/>
      <c r="E24" s="14"/>
      <c r="H24" t="s">
        <v>0</v>
      </c>
      <c r="I24" s="1" t="s">
        <v>0</v>
      </c>
      <c r="J24" t="s">
        <v>0</v>
      </c>
    </row>
    <row r="27" spans="3:13" x14ac:dyDescent="0.35">
      <c r="C27" s="3"/>
      <c r="H27" s="3"/>
    </row>
    <row r="33" spans="4:10" x14ac:dyDescent="0.35">
      <c r="D33" s="3"/>
    </row>
    <row r="38" spans="4:10" x14ac:dyDescent="0.35">
      <c r="J38">
        <v>4865070</v>
      </c>
    </row>
    <row r="39" spans="4:10" x14ac:dyDescent="0.35">
      <c r="J39">
        <v>4256937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781D-3AAE-4B14-A041-A2D6E42D64CD}">
  <dimension ref="A1:Q27"/>
  <sheetViews>
    <sheetView workbookViewId="0">
      <selection activeCell="F2" sqref="F2"/>
    </sheetView>
  </sheetViews>
  <sheetFormatPr defaultRowHeight="14.5" x14ac:dyDescent="0.35"/>
  <cols>
    <col min="4" max="4" width="13.36328125" bestFit="1" customWidth="1"/>
    <col min="5" max="5" width="13.6328125" customWidth="1"/>
    <col min="6" max="6" width="13.54296875" customWidth="1"/>
    <col min="9" max="9" width="10.36328125" customWidth="1"/>
    <col min="10" max="10" width="12.7265625" bestFit="1" customWidth="1"/>
    <col min="12" max="12" width="13.36328125" bestFit="1" customWidth="1"/>
    <col min="16" max="16" width="10.54296875" bestFit="1" customWidth="1"/>
    <col min="17" max="17" width="11.1796875" customWidth="1"/>
  </cols>
  <sheetData>
    <row r="1" spans="1:17" x14ac:dyDescent="0.35">
      <c r="P1" t="s">
        <v>43</v>
      </c>
    </row>
    <row r="2" spans="1:17" ht="24.5" customHeight="1" x14ac:dyDescent="0.35">
      <c r="A2" s="5">
        <f>13003575+2500000</f>
        <v>15503575</v>
      </c>
      <c r="D2" s="17" t="s">
        <v>3</v>
      </c>
      <c r="E2" s="17">
        <f>SUM(E4:E15)</f>
        <v>5838085</v>
      </c>
      <c r="F2" s="28">
        <f>(Payment!D3+Payment!D5)-Calculation!E2</f>
        <v>6324590</v>
      </c>
      <c r="M2" s="11">
        <f>SUM(M4:M11)</f>
        <v>3839919</v>
      </c>
      <c r="N2" s="11">
        <f>SUM(N4:N13)</f>
        <v>5339065</v>
      </c>
      <c r="O2" s="7">
        <f>M2+N2</f>
        <v>9178984</v>
      </c>
      <c r="P2" s="24">
        <f>O2-E2</f>
        <v>3340899</v>
      </c>
      <c r="Q2">
        <f>Payment!D11-Calculation!O2</f>
        <v>6324591</v>
      </c>
    </row>
    <row r="3" spans="1:17" x14ac:dyDescent="0.35">
      <c r="D3" s="13"/>
      <c r="E3" s="13"/>
      <c r="M3" s="12" t="s">
        <v>4</v>
      </c>
      <c r="N3" s="12" t="s">
        <v>9</v>
      </c>
      <c r="Q3">
        <v>-8000000</v>
      </c>
    </row>
    <row r="4" spans="1:17" x14ac:dyDescent="0.35">
      <c r="D4" s="13" t="s">
        <v>4</v>
      </c>
      <c r="E4" s="13">
        <v>634384</v>
      </c>
      <c r="F4" t="s">
        <v>5</v>
      </c>
      <c r="L4" t="s">
        <v>42</v>
      </c>
      <c r="M4" s="13">
        <f>E4</f>
        <v>634384</v>
      </c>
      <c r="N4" s="13">
        <v>0</v>
      </c>
      <c r="Q4">
        <f>SUM(Q2:Q3)</f>
        <v>-1675409</v>
      </c>
    </row>
    <row r="5" spans="1:17" x14ac:dyDescent="0.35">
      <c r="D5" s="13" t="s">
        <v>32</v>
      </c>
      <c r="E5" s="13">
        <v>3014419</v>
      </c>
      <c r="F5" t="s">
        <v>5</v>
      </c>
      <c r="H5" s="30" t="s">
        <v>12</v>
      </c>
      <c r="I5" s="30">
        <v>840900</v>
      </c>
      <c r="J5" t="s">
        <v>13</v>
      </c>
      <c r="L5" t="s">
        <v>6</v>
      </c>
      <c r="M5" s="13">
        <f>450000+200000</f>
        <v>650000</v>
      </c>
      <c r="N5" s="13">
        <f>2500000-M5</f>
        <v>1850000</v>
      </c>
    </row>
    <row r="6" spans="1:17" x14ac:dyDescent="0.35">
      <c r="D6" s="13" t="s">
        <v>23</v>
      </c>
      <c r="E6" s="13">
        <f>57917*2+1</f>
        <v>115835</v>
      </c>
      <c r="F6">
        <f>E5-G6</f>
        <v>1114419</v>
      </c>
      <c r="G6">
        <v>1900000</v>
      </c>
      <c r="K6">
        <v>5</v>
      </c>
      <c r="L6" s="23" t="s">
        <v>12</v>
      </c>
      <c r="M6" s="13">
        <v>840900</v>
      </c>
      <c r="N6" s="13"/>
    </row>
    <row r="7" spans="1:17" x14ac:dyDescent="0.35">
      <c r="D7" s="13" t="s">
        <v>40</v>
      </c>
      <c r="E7" s="13">
        <v>492299</v>
      </c>
      <c r="F7">
        <f>E6-G7</f>
        <v>107918</v>
      </c>
      <c r="G7">
        <v>7917</v>
      </c>
      <c r="K7">
        <v>1</v>
      </c>
      <c r="L7" t="s">
        <v>32</v>
      </c>
      <c r="M7" s="13">
        <v>1114419</v>
      </c>
      <c r="N7" s="13">
        <v>1900000</v>
      </c>
    </row>
    <row r="8" spans="1:17" x14ac:dyDescent="0.35">
      <c r="D8" s="13" t="s">
        <v>41</v>
      </c>
      <c r="E8" s="13">
        <v>608134</v>
      </c>
      <c r="K8">
        <v>3</v>
      </c>
      <c r="L8" t="s">
        <v>23</v>
      </c>
      <c r="M8" s="13">
        <v>107917</v>
      </c>
      <c r="N8" s="13">
        <v>7917</v>
      </c>
      <c r="O8" t="s">
        <v>0</v>
      </c>
    </row>
    <row r="9" spans="1:17" x14ac:dyDescent="0.35">
      <c r="D9" s="13" t="s">
        <v>57</v>
      </c>
      <c r="E9" s="13">
        <v>486507</v>
      </c>
      <c r="K9">
        <v>4</v>
      </c>
      <c r="L9" t="s">
        <v>40</v>
      </c>
      <c r="M9" s="13">
        <v>492299</v>
      </c>
      <c r="N9" s="13"/>
      <c r="O9" t="s">
        <v>0</v>
      </c>
    </row>
    <row r="10" spans="1:17" x14ac:dyDescent="0.35">
      <c r="D10" s="13" t="s">
        <v>58</v>
      </c>
      <c r="E10" s="13">
        <v>486507</v>
      </c>
      <c r="L10" t="s">
        <v>41</v>
      </c>
      <c r="N10" s="13">
        <v>608134</v>
      </c>
    </row>
    <row r="11" spans="1:17" x14ac:dyDescent="0.35">
      <c r="M11" s="13"/>
      <c r="N11" s="13">
        <v>486507</v>
      </c>
    </row>
    <row r="12" spans="1:17" x14ac:dyDescent="0.35">
      <c r="I12" t="s">
        <v>0</v>
      </c>
      <c r="M12" s="13"/>
      <c r="N12" s="13">
        <v>486507</v>
      </c>
    </row>
    <row r="13" spans="1:17" x14ac:dyDescent="0.35">
      <c r="I13" t="s">
        <v>0</v>
      </c>
      <c r="M13" s="13"/>
      <c r="N13" s="13"/>
    </row>
    <row r="14" spans="1:17" x14ac:dyDescent="0.35">
      <c r="K14" t="s">
        <v>0</v>
      </c>
    </row>
    <row r="16" spans="1:17" x14ac:dyDescent="0.35">
      <c r="A16" s="35" t="s">
        <v>6</v>
      </c>
      <c r="B16" s="35"/>
      <c r="C16" s="35"/>
      <c r="K16" t="s">
        <v>0</v>
      </c>
    </row>
    <row r="17" spans="1:12" x14ac:dyDescent="0.35">
      <c r="A17" t="s">
        <v>4</v>
      </c>
      <c r="B17">
        <v>200000</v>
      </c>
      <c r="C17" t="s">
        <v>7</v>
      </c>
      <c r="L17" t="s">
        <v>0</v>
      </c>
    </row>
    <row r="18" spans="1:12" x14ac:dyDescent="0.35">
      <c r="B18">
        <v>300000</v>
      </c>
      <c r="C18" t="s">
        <v>8</v>
      </c>
      <c r="J18" t="s">
        <v>0</v>
      </c>
      <c r="L18" t="s">
        <v>0</v>
      </c>
    </row>
    <row r="19" spans="1:12" x14ac:dyDescent="0.35">
      <c r="A19" t="s">
        <v>14</v>
      </c>
      <c r="B19">
        <v>100000</v>
      </c>
      <c r="L19" t="s">
        <v>0</v>
      </c>
    </row>
    <row r="20" spans="1:12" x14ac:dyDescent="0.35">
      <c r="A20" t="s">
        <v>9</v>
      </c>
      <c r="B20">
        <v>500000</v>
      </c>
    </row>
    <row r="21" spans="1:12" x14ac:dyDescent="0.35">
      <c r="B21">
        <v>300000</v>
      </c>
    </row>
    <row r="23" spans="1:12" x14ac:dyDescent="0.35">
      <c r="B23">
        <v>100000</v>
      </c>
      <c r="C23" t="s">
        <v>7</v>
      </c>
    </row>
    <row r="24" spans="1:12" x14ac:dyDescent="0.35">
      <c r="A24" t="s">
        <v>10</v>
      </c>
      <c r="B24">
        <v>300000</v>
      </c>
      <c r="C24">
        <v>50000</v>
      </c>
    </row>
    <row r="25" spans="1:12" x14ac:dyDescent="0.35">
      <c r="B25">
        <v>300000</v>
      </c>
      <c r="C25">
        <v>50000</v>
      </c>
    </row>
    <row r="26" spans="1:12" x14ac:dyDescent="0.35">
      <c r="A26" t="s">
        <v>11</v>
      </c>
      <c r="B26">
        <v>400000</v>
      </c>
    </row>
    <row r="27" spans="1:12" x14ac:dyDescent="0.35">
      <c r="B27" s="8">
        <f>SUM(B17:B26)</f>
        <v>2500000</v>
      </c>
      <c r="C27" s="1">
        <v>0.12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2C35-1DF3-40FB-89B5-1B88704D068C}">
  <dimension ref="B1:I9"/>
  <sheetViews>
    <sheetView workbookViewId="0">
      <selection activeCell="F1" sqref="F1"/>
    </sheetView>
  </sheetViews>
  <sheetFormatPr defaultRowHeight="14.5" x14ac:dyDescent="0.35"/>
  <cols>
    <col min="2" max="2" width="16.1796875" customWidth="1"/>
    <col min="3" max="3" width="10.08984375" customWidth="1"/>
    <col min="4" max="4" width="13.26953125" customWidth="1"/>
  </cols>
  <sheetData>
    <row r="1" spans="2:9" x14ac:dyDescent="0.35">
      <c r="C1" s="5">
        <f>SUM(C3:C15)</f>
        <v>5959712</v>
      </c>
      <c r="F1">
        <v>11583500</v>
      </c>
      <c r="I1">
        <f>F1-C1</f>
        <v>5623788</v>
      </c>
    </row>
    <row r="3" spans="2:9" x14ac:dyDescent="0.35">
      <c r="B3" t="s">
        <v>37</v>
      </c>
      <c r="C3">
        <v>634384</v>
      </c>
      <c r="D3" t="s">
        <v>46</v>
      </c>
    </row>
    <row r="4" spans="2:9" x14ac:dyDescent="0.35">
      <c r="B4" t="s">
        <v>38</v>
      </c>
      <c r="C4">
        <v>3014419</v>
      </c>
      <c r="D4" t="s">
        <v>46</v>
      </c>
    </row>
    <row r="5" spans="2:9" x14ac:dyDescent="0.35">
      <c r="B5" t="s">
        <v>36</v>
      </c>
      <c r="C5">
        <f>57917+57917+1</f>
        <v>115835</v>
      </c>
      <c r="D5" s="13">
        <v>107917</v>
      </c>
      <c r="F5">
        <f>F1*5%</f>
        <v>579175</v>
      </c>
    </row>
    <row r="6" spans="2:9" x14ac:dyDescent="0.35">
      <c r="B6" t="s">
        <v>39</v>
      </c>
      <c r="C6" s="13">
        <v>492299</v>
      </c>
      <c r="D6" t="s">
        <v>46</v>
      </c>
    </row>
    <row r="7" spans="2:9" x14ac:dyDescent="0.35">
      <c r="B7" t="s">
        <v>44</v>
      </c>
      <c r="C7" s="13">
        <v>608134</v>
      </c>
      <c r="D7" t="s">
        <v>45</v>
      </c>
    </row>
    <row r="8" spans="2:9" x14ac:dyDescent="0.35">
      <c r="B8" t="s">
        <v>52</v>
      </c>
      <c r="C8" s="13">
        <v>608134</v>
      </c>
      <c r="D8" t="s">
        <v>45</v>
      </c>
      <c r="F8">
        <v>223848</v>
      </c>
    </row>
    <row r="9" spans="2:9" x14ac:dyDescent="0.35">
      <c r="C9" s="25">
        <v>486507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BBDC-FBBC-405C-AEF8-93D2FAEAA642}">
  <dimension ref="A1:O33"/>
  <sheetViews>
    <sheetView tabSelected="1" workbookViewId="0">
      <selection activeCell="O5" sqref="O5"/>
    </sheetView>
  </sheetViews>
  <sheetFormatPr defaultRowHeight="14.5" x14ac:dyDescent="0.35"/>
  <cols>
    <col min="1" max="1" width="10.08984375" bestFit="1" customWidth="1"/>
    <col min="3" max="3" width="8.6328125" customWidth="1"/>
    <col min="4" max="4" width="9.08984375" bestFit="1" customWidth="1"/>
    <col min="5" max="5" width="10.1796875" customWidth="1"/>
    <col min="6" max="6" width="4.6328125" customWidth="1"/>
    <col min="7" max="7" width="10.1796875" customWidth="1"/>
  </cols>
  <sheetData>
    <row r="1" spans="1:15" x14ac:dyDescent="0.35">
      <c r="B1" s="38">
        <f>SUM(B3:B6)</f>
        <v>553399</v>
      </c>
      <c r="D1" s="25"/>
      <c r="E1" s="38">
        <f>SUM(E3:E6)</f>
        <v>569962</v>
      </c>
      <c r="F1" s="25"/>
      <c r="G1" s="25"/>
      <c r="H1" s="38">
        <f>SUM(H3:H6)</f>
        <v>542388</v>
      </c>
      <c r="K1">
        <f>SUM(B1:H1)</f>
        <v>1665749</v>
      </c>
    </row>
    <row r="2" spans="1:15" x14ac:dyDescent="0.35">
      <c r="A2" s="13"/>
      <c r="B2" s="31" t="s">
        <v>26</v>
      </c>
      <c r="C2" s="31"/>
      <c r="D2" s="31"/>
      <c r="E2" s="31" t="s">
        <v>27</v>
      </c>
      <c r="F2" s="31"/>
      <c r="G2" s="31"/>
      <c r="H2" s="31" t="s">
        <v>9</v>
      </c>
    </row>
    <row r="3" spans="1:15" x14ac:dyDescent="0.35">
      <c r="A3" s="32">
        <v>45753</v>
      </c>
      <c r="B3" s="13">
        <v>115920</v>
      </c>
      <c r="C3" s="13"/>
      <c r="D3" s="32">
        <v>45967</v>
      </c>
      <c r="E3" s="13">
        <v>123203</v>
      </c>
      <c r="F3" s="13"/>
      <c r="G3" s="33" t="s">
        <v>35</v>
      </c>
      <c r="H3" s="13">
        <v>151957</v>
      </c>
      <c r="I3" s="29" t="s">
        <v>31</v>
      </c>
      <c r="J3">
        <v>140932</v>
      </c>
    </row>
    <row r="4" spans="1:15" x14ac:dyDescent="0.35">
      <c r="A4" s="13" t="s">
        <v>28</v>
      </c>
      <c r="B4" s="13">
        <v>233093</v>
      </c>
      <c r="C4" s="13"/>
      <c r="D4" s="13" t="s">
        <v>28</v>
      </c>
      <c r="E4" s="13">
        <v>233093</v>
      </c>
      <c r="F4" s="13"/>
      <c r="G4" s="33">
        <v>46055</v>
      </c>
      <c r="H4" s="13">
        <v>139737</v>
      </c>
    </row>
    <row r="5" spans="1:15" x14ac:dyDescent="0.35">
      <c r="A5" s="13" t="s">
        <v>34</v>
      </c>
      <c r="B5" s="13">
        <v>83886</v>
      </c>
      <c r="C5" s="13"/>
      <c r="D5" s="34">
        <v>45788</v>
      </c>
      <c r="E5" s="13">
        <v>89001</v>
      </c>
      <c r="F5" s="13"/>
      <c r="G5" s="33">
        <v>46026</v>
      </c>
      <c r="H5" s="13">
        <v>250694</v>
      </c>
    </row>
    <row r="6" spans="1:15" x14ac:dyDescent="0.35">
      <c r="A6" s="13" t="s">
        <v>30</v>
      </c>
      <c r="B6" s="13">
        <v>120500</v>
      </c>
      <c r="C6" s="13"/>
      <c r="D6" s="13" t="s">
        <v>29</v>
      </c>
      <c r="E6" s="13">
        <v>124665</v>
      </c>
      <c r="F6" s="13"/>
      <c r="G6" s="13"/>
      <c r="H6" s="13"/>
    </row>
    <row r="9" spans="1:15" x14ac:dyDescent="0.35">
      <c r="I9" t="s">
        <v>3</v>
      </c>
      <c r="J9">
        <f>SUM(J10:J15)</f>
        <v>8665749</v>
      </c>
      <c r="L9" t="s">
        <v>60</v>
      </c>
      <c r="M9">
        <f>Calculation!F2</f>
        <v>6324590</v>
      </c>
      <c r="O9">
        <f>J9-M9</f>
        <v>2341159</v>
      </c>
    </row>
    <row r="10" spans="1:15" x14ac:dyDescent="0.35">
      <c r="I10" t="s">
        <v>53</v>
      </c>
      <c r="J10">
        <f>K1</f>
        <v>1665749</v>
      </c>
      <c r="O10">
        <v>3500000</v>
      </c>
    </row>
    <row r="11" spans="1:15" x14ac:dyDescent="0.35">
      <c r="I11" t="s">
        <v>15</v>
      </c>
      <c r="J11">
        <v>1500000</v>
      </c>
      <c r="O11">
        <v>3500000</v>
      </c>
    </row>
    <row r="12" spans="1:15" x14ac:dyDescent="0.35">
      <c r="I12" t="s">
        <v>16</v>
      </c>
      <c r="J12">
        <v>2600000</v>
      </c>
    </row>
    <row r="13" spans="1:15" x14ac:dyDescent="0.35">
      <c r="I13" s="1" t="s">
        <v>59</v>
      </c>
      <c r="J13">
        <f>300000*7</f>
        <v>2100000</v>
      </c>
    </row>
    <row r="14" spans="1:15" x14ac:dyDescent="0.35">
      <c r="J14">
        <v>800000</v>
      </c>
    </row>
    <row r="30" spans="9:10" x14ac:dyDescent="0.35">
      <c r="I30">
        <v>4</v>
      </c>
      <c r="J30">
        <v>18</v>
      </c>
    </row>
    <row r="31" spans="9:10" x14ac:dyDescent="0.35">
      <c r="I31">
        <v>4</v>
      </c>
    </row>
    <row r="32" spans="9:10" x14ac:dyDescent="0.35">
      <c r="I32">
        <v>2</v>
      </c>
      <c r="J32">
        <v>76</v>
      </c>
    </row>
    <row r="33" spans="9:10" x14ac:dyDescent="0.35">
      <c r="I33">
        <f>SUM(I29:I32)</f>
        <v>10</v>
      </c>
      <c r="J33">
        <f>SUM(J29:J32)</f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98AB-D4EC-4C86-A875-B85AC359CF26}">
  <dimension ref="A2:U20"/>
  <sheetViews>
    <sheetView workbookViewId="0">
      <selection activeCell="F12" sqref="F12"/>
    </sheetView>
  </sheetViews>
  <sheetFormatPr defaultRowHeight="14.5" x14ac:dyDescent="0.35"/>
  <cols>
    <col min="2" max="2" width="13.81640625" bestFit="1" customWidth="1"/>
    <col min="3" max="3" width="10.81640625" bestFit="1" customWidth="1"/>
    <col min="4" max="4" width="7.81640625" bestFit="1" customWidth="1"/>
    <col min="5" max="5" width="7.81640625" customWidth="1"/>
    <col min="6" max="6" width="9.6328125" customWidth="1"/>
    <col min="7" max="7" width="10.453125" bestFit="1" customWidth="1"/>
    <col min="8" max="8" width="7.81640625" bestFit="1" customWidth="1"/>
    <col min="9" max="10" width="7.81640625" customWidth="1"/>
    <col min="18" max="18" width="9.90625" bestFit="1" customWidth="1"/>
  </cols>
  <sheetData>
    <row r="2" spans="1:21" x14ac:dyDescent="0.35">
      <c r="H2" t="s">
        <v>0</v>
      </c>
    </row>
    <row r="3" spans="1:21" x14ac:dyDescent="0.35">
      <c r="B3" s="4">
        <v>14083500</v>
      </c>
      <c r="C3" s="4">
        <f>B3-C4</f>
        <v>13942665</v>
      </c>
      <c r="G3" s="5">
        <v>11583500</v>
      </c>
      <c r="K3" t="s">
        <v>0</v>
      </c>
      <c r="R3" s="2">
        <v>16000000</v>
      </c>
      <c r="T3">
        <f>R3*30%</f>
        <v>4800000</v>
      </c>
    </row>
    <row r="4" spans="1:21" x14ac:dyDescent="0.35">
      <c r="A4" s="1">
        <v>0.01</v>
      </c>
      <c r="B4">
        <v>0</v>
      </c>
      <c r="C4">
        <f>B3*A4</f>
        <v>140835</v>
      </c>
      <c r="D4">
        <f>C4*12%</f>
        <v>16900.2</v>
      </c>
      <c r="F4" s="1">
        <v>0.05</v>
      </c>
      <c r="H4">
        <f>G3*F4</f>
        <v>579175</v>
      </c>
      <c r="I4">
        <f>H4*5%</f>
        <v>28958.75</v>
      </c>
      <c r="J4">
        <f>H4+I4</f>
        <v>608133.75</v>
      </c>
      <c r="Q4" s="1">
        <v>0.1</v>
      </c>
      <c r="S4">
        <f>R3*Q4</f>
        <v>1600000</v>
      </c>
    </row>
    <row r="5" spans="1:21" x14ac:dyDescent="0.35">
      <c r="A5" s="1">
        <v>7.0000000000000007E-2</v>
      </c>
      <c r="B5" s="3">
        <f>B3*A5</f>
        <v>985845.00000000012</v>
      </c>
      <c r="C5">
        <f>C3*A5</f>
        <v>975986.55</v>
      </c>
      <c r="F5" s="6" t="s">
        <v>0</v>
      </c>
      <c r="G5" s="7"/>
      <c r="H5" s="7" t="s">
        <v>0</v>
      </c>
      <c r="I5" s="7" t="s">
        <v>0</v>
      </c>
      <c r="J5" s="7" t="s">
        <v>0</v>
      </c>
      <c r="K5" t="s">
        <v>0</v>
      </c>
      <c r="Q5" s="1"/>
    </row>
    <row r="6" spans="1:21" x14ac:dyDescent="0.35">
      <c r="A6" s="1">
        <v>0.05</v>
      </c>
      <c r="B6" s="3">
        <f>B3*A6</f>
        <v>704175</v>
      </c>
      <c r="C6">
        <f>C3*A6</f>
        <v>697133.25</v>
      </c>
      <c r="F6" s="1">
        <v>0.25</v>
      </c>
      <c r="H6">
        <f>G3*F6</f>
        <v>2895875</v>
      </c>
      <c r="I6">
        <f t="shared" ref="I6:I20" si="0">H6*5%</f>
        <v>144793.75</v>
      </c>
      <c r="J6">
        <f t="shared" ref="J6:J20" si="1">H6+I6</f>
        <v>3040668.75</v>
      </c>
      <c r="Q6" s="1">
        <v>0.2</v>
      </c>
      <c r="S6">
        <f>R3*Q6</f>
        <v>3200000</v>
      </c>
    </row>
    <row r="7" spans="1:21" x14ac:dyDescent="0.35">
      <c r="B7">
        <v>30000</v>
      </c>
      <c r="C7">
        <v>30000</v>
      </c>
      <c r="F7" s="1">
        <v>0.05</v>
      </c>
      <c r="H7">
        <f>G3*F7</f>
        <v>579175</v>
      </c>
      <c r="I7">
        <f t="shared" si="0"/>
        <v>28958.75</v>
      </c>
      <c r="J7">
        <f t="shared" si="1"/>
        <v>608133.75</v>
      </c>
      <c r="Q7" s="1">
        <v>0.05</v>
      </c>
      <c r="S7">
        <f>R3*Q7</f>
        <v>800000</v>
      </c>
    </row>
    <row r="8" spans="1:21" x14ac:dyDescent="0.35">
      <c r="F8" s="1">
        <v>0.05</v>
      </c>
      <c r="H8">
        <f>G3*F8</f>
        <v>579175</v>
      </c>
      <c r="I8">
        <f t="shared" si="0"/>
        <v>28958.75</v>
      </c>
      <c r="J8">
        <f t="shared" si="1"/>
        <v>608133.75</v>
      </c>
      <c r="Q8" s="1">
        <v>0.05</v>
      </c>
      <c r="S8">
        <f>R3*Q8</f>
        <v>800000</v>
      </c>
    </row>
    <row r="9" spans="1:21" x14ac:dyDescent="0.35">
      <c r="A9" s="9" t="s">
        <v>3</v>
      </c>
      <c r="B9" s="5">
        <f>SUM(B3:B7)</f>
        <v>15803520</v>
      </c>
      <c r="C9" s="4">
        <f>SUM(C3:C7)</f>
        <v>15786619.800000001</v>
      </c>
      <c r="D9">
        <f>B9-C9</f>
        <v>16900.199999999255</v>
      </c>
      <c r="F9" s="1">
        <v>0.05</v>
      </c>
      <c r="H9">
        <f>G$3*F9</f>
        <v>579175</v>
      </c>
      <c r="I9">
        <f t="shared" si="0"/>
        <v>28958.75</v>
      </c>
      <c r="J9">
        <f t="shared" si="1"/>
        <v>608133.75</v>
      </c>
      <c r="K9" t="s">
        <v>1</v>
      </c>
      <c r="L9">
        <v>2025</v>
      </c>
      <c r="M9">
        <v>2000000</v>
      </c>
      <c r="Q9" s="1">
        <v>0.05</v>
      </c>
      <c r="S9">
        <f>R$3*Q9</f>
        <v>800000</v>
      </c>
      <c r="T9" t="s">
        <v>1</v>
      </c>
      <c r="U9">
        <v>2025</v>
      </c>
    </row>
    <row r="10" spans="1:21" x14ac:dyDescent="0.35">
      <c r="F10" s="1">
        <v>0.04</v>
      </c>
      <c r="H10">
        <f>G$3*F10</f>
        <v>463340</v>
      </c>
      <c r="I10">
        <f t="shared" si="0"/>
        <v>23167</v>
      </c>
      <c r="J10">
        <f t="shared" si="1"/>
        <v>486507</v>
      </c>
      <c r="Q10" s="1">
        <v>0.04</v>
      </c>
      <c r="S10">
        <f>R$3*Q10</f>
        <v>640000</v>
      </c>
    </row>
    <row r="11" spans="1:21" x14ac:dyDescent="0.35">
      <c r="F11" s="1">
        <v>0.04</v>
      </c>
      <c r="H11">
        <f t="shared" ref="H11:H20" si="2">G$3*F11</f>
        <v>463340</v>
      </c>
      <c r="I11">
        <f t="shared" si="0"/>
        <v>23167</v>
      </c>
      <c r="J11">
        <f t="shared" si="1"/>
        <v>486507</v>
      </c>
      <c r="Q11" s="1">
        <v>0.04</v>
      </c>
      <c r="S11">
        <f t="shared" ref="S11:S20" si="3">R$3*Q11</f>
        <v>640000</v>
      </c>
    </row>
    <row r="12" spans="1:21" x14ac:dyDescent="0.35">
      <c r="B12" s="5">
        <v>11583500</v>
      </c>
      <c r="C12" s="4">
        <f>B12-C13</f>
        <v>11467665</v>
      </c>
      <c r="F12" s="1">
        <v>0.04</v>
      </c>
      <c r="H12">
        <f t="shared" si="2"/>
        <v>463340</v>
      </c>
      <c r="I12">
        <f t="shared" si="0"/>
        <v>23167</v>
      </c>
      <c r="J12">
        <f t="shared" si="1"/>
        <v>486507</v>
      </c>
      <c r="Q12" s="1">
        <v>0.04</v>
      </c>
      <c r="S12">
        <f t="shared" si="3"/>
        <v>640000</v>
      </c>
    </row>
    <row r="13" spans="1:21" x14ac:dyDescent="0.35">
      <c r="A13" s="1">
        <v>0.01</v>
      </c>
      <c r="B13">
        <v>0</v>
      </c>
      <c r="C13">
        <f>B12*A13</f>
        <v>115835</v>
      </c>
      <c r="D13">
        <f>C13*12%</f>
        <v>13900.199999999999</v>
      </c>
      <c r="F13" s="1">
        <v>0.04</v>
      </c>
      <c r="H13">
        <f t="shared" si="2"/>
        <v>463340</v>
      </c>
      <c r="I13">
        <f t="shared" si="0"/>
        <v>23167</v>
      </c>
      <c r="J13">
        <f t="shared" si="1"/>
        <v>486507</v>
      </c>
      <c r="Q13" s="1">
        <v>0.04</v>
      </c>
      <c r="S13">
        <f t="shared" si="3"/>
        <v>640000</v>
      </c>
    </row>
    <row r="14" spans="1:21" x14ac:dyDescent="0.35">
      <c r="A14" s="1">
        <v>7.0000000000000007E-2</v>
      </c>
      <c r="B14" s="3">
        <f>B12*A14</f>
        <v>810845.00000000012</v>
      </c>
      <c r="C14">
        <f>C12*A14</f>
        <v>802736.55</v>
      </c>
      <c r="F14" s="1">
        <v>0.04</v>
      </c>
      <c r="H14">
        <f t="shared" si="2"/>
        <v>463340</v>
      </c>
      <c r="I14">
        <f t="shared" si="0"/>
        <v>23167</v>
      </c>
      <c r="J14">
        <f t="shared" si="1"/>
        <v>486507</v>
      </c>
      <c r="Q14" s="1">
        <v>0.04</v>
      </c>
      <c r="S14">
        <f t="shared" si="3"/>
        <v>640000</v>
      </c>
    </row>
    <row r="15" spans="1:21" x14ac:dyDescent="0.35">
      <c r="A15" s="1">
        <v>0.05</v>
      </c>
      <c r="B15" s="3">
        <f>B12*A15</f>
        <v>579175</v>
      </c>
      <c r="C15">
        <f>C12*A15</f>
        <v>573383.25</v>
      </c>
      <c r="F15" s="1">
        <v>0.05</v>
      </c>
      <c r="H15">
        <f t="shared" si="2"/>
        <v>579175</v>
      </c>
      <c r="I15">
        <f t="shared" si="0"/>
        <v>28958.75</v>
      </c>
      <c r="J15">
        <f t="shared" si="1"/>
        <v>608133.75</v>
      </c>
      <c r="K15" t="s">
        <v>2</v>
      </c>
      <c r="L15">
        <v>2026</v>
      </c>
      <c r="M15">
        <v>2500000</v>
      </c>
      <c r="Q15" s="1">
        <v>0.05</v>
      </c>
      <c r="S15">
        <f t="shared" si="3"/>
        <v>800000</v>
      </c>
      <c r="T15" t="s">
        <v>2</v>
      </c>
      <c r="U15">
        <v>2026</v>
      </c>
    </row>
    <row r="16" spans="1:21" x14ac:dyDescent="0.35">
      <c r="B16">
        <v>30000</v>
      </c>
      <c r="C16">
        <v>30000</v>
      </c>
      <c r="F16" s="1">
        <v>0.05</v>
      </c>
      <c r="H16">
        <f t="shared" si="2"/>
        <v>579175</v>
      </c>
      <c r="I16">
        <f t="shared" si="0"/>
        <v>28958.75</v>
      </c>
      <c r="J16">
        <f t="shared" si="1"/>
        <v>608133.75</v>
      </c>
      <c r="Q16" s="1">
        <v>0.05</v>
      </c>
      <c r="S16">
        <f t="shared" si="3"/>
        <v>800000</v>
      </c>
    </row>
    <row r="17" spans="2:21" x14ac:dyDescent="0.35">
      <c r="F17" s="1">
        <v>0.05</v>
      </c>
      <c r="H17">
        <f t="shared" si="2"/>
        <v>579175</v>
      </c>
      <c r="I17">
        <f t="shared" si="0"/>
        <v>28958.75</v>
      </c>
      <c r="J17">
        <f t="shared" si="1"/>
        <v>608133.75</v>
      </c>
      <c r="Q17" s="1">
        <v>0.05</v>
      </c>
      <c r="S17">
        <f t="shared" si="3"/>
        <v>800000</v>
      </c>
    </row>
    <row r="18" spans="2:21" x14ac:dyDescent="0.35">
      <c r="B18" s="5">
        <f>SUM(B12:B16)</f>
        <v>13003520</v>
      </c>
      <c r="C18" s="4">
        <f>SUM(C12:C16)</f>
        <v>12989619.800000001</v>
      </c>
      <c r="D18">
        <f>B18-C18</f>
        <v>13900.199999999255</v>
      </c>
      <c r="F18" s="1">
        <v>0.05</v>
      </c>
      <c r="H18">
        <f t="shared" si="2"/>
        <v>579175</v>
      </c>
      <c r="I18">
        <f t="shared" si="0"/>
        <v>28958.75</v>
      </c>
      <c r="J18">
        <f t="shared" si="1"/>
        <v>608133.75</v>
      </c>
      <c r="Q18" s="1">
        <v>0.05</v>
      </c>
      <c r="S18">
        <f t="shared" si="3"/>
        <v>800000</v>
      </c>
    </row>
    <row r="19" spans="2:21" x14ac:dyDescent="0.35">
      <c r="B19">
        <v>2000000</v>
      </c>
      <c r="F19" s="1">
        <v>0.1</v>
      </c>
      <c r="H19">
        <f t="shared" si="2"/>
        <v>1158350</v>
      </c>
      <c r="I19">
        <f t="shared" si="0"/>
        <v>57917.5</v>
      </c>
      <c r="J19">
        <f t="shared" si="1"/>
        <v>1216267.5</v>
      </c>
      <c r="Q19" s="1">
        <v>0.1</v>
      </c>
      <c r="S19">
        <f t="shared" si="3"/>
        <v>1600000</v>
      </c>
    </row>
    <row r="20" spans="2:21" x14ac:dyDescent="0.35">
      <c r="B20">
        <f>B18+B19</f>
        <v>15003520</v>
      </c>
      <c r="F20" s="1">
        <v>0.05</v>
      </c>
      <c r="H20">
        <f t="shared" si="2"/>
        <v>579175</v>
      </c>
      <c r="I20">
        <f t="shared" si="0"/>
        <v>28958.75</v>
      </c>
      <c r="J20">
        <f t="shared" si="1"/>
        <v>608133.75</v>
      </c>
      <c r="L20">
        <v>2027</v>
      </c>
      <c r="Q20" s="1">
        <v>0.05</v>
      </c>
      <c r="S20">
        <f t="shared" si="3"/>
        <v>800000</v>
      </c>
      <c r="U20">
        <v>2027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83C5-5A6F-4D88-BB27-FCF36CA77DBD}">
  <dimension ref="C4:F11"/>
  <sheetViews>
    <sheetView workbookViewId="0">
      <selection activeCell="H13" sqref="H13"/>
    </sheetView>
  </sheetViews>
  <sheetFormatPr defaultRowHeight="14.5" x14ac:dyDescent="0.35"/>
  <sheetData>
    <row r="4" spans="3:6" x14ac:dyDescent="0.35">
      <c r="C4">
        <v>20</v>
      </c>
      <c r="D4">
        <v>25</v>
      </c>
      <c r="E4">
        <f>D4+C4</f>
        <v>45</v>
      </c>
      <c r="F4">
        <f>E4*12</f>
        <v>540</v>
      </c>
    </row>
    <row r="5" spans="3:6" x14ac:dyDescent="0.35">
      <c r="C5" t="s">
        <v>0</v>
      </c>
    </row>
    <row r="7" spans="3:6" x14ac:dyDescent="0.35">
      <c r="C7">
        <v>27</v>
      </c>
    </row>
    <row r="8" spans="3:6" x14ac:dyDescent="0.35">
      <c r="C8">
        <v>28</v>
      </c>
    </row>
    <row r="10" spans="3:6" x14ac:dyDescent="0.35">
      <c r="C10">
        <v>20</v>
      </c>
      <c r="D10" s="1">
        <v>7.0000000000000007E-2</v>
      </c>
      <c r="E10">
        <f>C10*D10</f>
        <v>1.4000000000000001</v>
      </c>
    </row>
    <row r="11" spans="3:6" x14ac:dyDescent="0.35">
      <c r="E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</vt:lpstr>
      <vt:lpstr>Calculation</vt:lpstr>
      <vt:lpstr>Given</vt:lpstr>
      <vt:lpstr>Sarswat</vt:lpstr>
      <vt:lpstr>Sheet1</vt:lpstr>
      <vt:lpstr>Sheet2</vt:lpstr>
    </vt:vector>
  </TitlesOfParts>
  <Company>Eaton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Gavali, Amol S</dc:creator>
  <cp:lastModifiedBy>Gavali, Amol S</cp:lastModifiedBy>
  <dcterms:created xsi:type="dcterms:W3CDTF">2025-02-14T03:00:20Z</dcterms:created>
  <dcterms:modified xsi:type="dcterms:W3CDTF">2026-09-23T13:39:25Z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2025-02-17T07:02:02Z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abdc8fde-832d-4278-a049-a4a745548666</vt:lpwstr>
  </property>
  <property fmtid="{D5CDD505-2E9C-101B-9397-08002B2CF9AE}" pid="8" name="MSIP_Label_ff418558-72e5-4d8e-958f-cfe0e73e210d_ContentBits">
    <vt:lpwstr>0</vt:lpwstr>
  </property>
</Properties>
</file>
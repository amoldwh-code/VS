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aton-my.sharepoint.com/personal/amolsgavali_eaton_com/Documents/Documents/2021 Doc/Per/P/"/>
    </mc:Choice>
  </mc:AlternateContent>
  <xr:revisionPtr revIDLastSave="618" documentId="13_ncr:1_{4E8C8744-28EC-4143-811A-618B943BAC84}" xr6:coauthVersionLast="47" xr6:coauthVersionMax="47" xr10:uidLastSave="{268147E4-9009-471A-8DFA-D65D1D17BE41}"/>
  <bookViews>
    <workbookView xWindow="-110" yWindow="-110" windowWidth="19420" windowHeight="10300" activeTab="2" xr2:uid="{293C5E62-2986-4268-AE1D-BF38DCF1F254}"/>
  </bookViews>
  <sheets>
    <sheet name="GF-1RK-Kale" sheetId="6" r:id="rId1"/>
    <sheet name="2F-1RK Dole" sheetId="7" r:id="rId2"/>
    <sheet name="2F- 1RK-Darade" sheetId="3" r:id="rId3"/>
    <sheet name="2F-1RK Jagtap" sheetId="2" r:id="rId4"/>
    <sheet name="Sheet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0" i="6" l="1"/>
  <c r="C159" i="6"/>
  <c r="C163" i="6" s="1"/>
  <c r="F169" i="3"/>
  <c r="C168" i="3" s="1"/>
  <c r="C173" i="3" s="1"/>
  <c r="F64" i="7"/>
  <c r="C63" i="7" s="1"/>
  <c r="C67" i="7" s="1"/>
  <c r="F159" i="3"/>
  <c r="C158" i="3" s="1"/>
  <c r="C163" i="3" s="1"/>
  <c r="C154" i="6"/>
  <c r="F151" i="6"/>
  <c r="C150" i="6" s="1"/>
  <c r="F55" i="7"/>
  <c r="C54" i="7" s="1"/>
  <c r="C58" i="7" s="1"/>
  <c r="F46" i="7"/>
  <c r="C45" i="7" s="1"/>
  <c r="C49" i="7" s="1"/>
  <c r="F149" i="3"/>
  <c r="C148" i="3"/>
  <c r="C153" i="3" s="1"/>
  <c r="F142" i="6"/>
  <c r="C141" i="6" s="1"/>
  <c r="C145" i="6" s="1"/>
  <c r="F37" i="7"/>
  <c r="C36" i="7" s="1"/>
  <c r="C40" i="7" s="1"/>
  <c r="F139" i="3"/>
  <c r="C138" i="3" s="1"/>
  <c r="C143" i="3" s="1"/>
  <c r="F133" i="6"/>
  <c r="C132" i="6" s="1"/>
  <c r="C136" i="6" s="1"/>
  <c r="F27" i="7"/>
  <c r="C26" i="7" s="1"/>
  <c r="C30" i="7" s="1"/>
  <c r="F124" i="6"/>
  <c r="C123" i="6" s="1"/>
  <c r="C127" i="6" s="1"/>
  <c r="F128" i="3" l="1"/>
  <c r="C127" i="3" s="1"/>
  <c r="C132" i="3" s="1"/>
  <c r="F118" i="3"/>
  <c r="C117" i="3" s="1"/>
  <c r="C122" i="3" s="1"/>
  <c r="F115" i="6"/>
  <c r="C114" i="6" s="1"/>
  <c r="C118" i="6" s="1"/>
  <c r="C123" i="2"/>
  <c r="C121" i="2"/>
  <c r="I105" i="3"/>
  <c r="F18" i="7" l="1"/>
  <c r="C17" i="7" s="1"/>
  <c r="C21" i="7" s="1"/>
  <c r="C4" i="7"/>
  <c r="C7" i="7"/>
  <c r="F6" i="7"/>
  <c r="C5" i="7" s="1"/>
  <c r="C6" i="7"/>
  <c r="C117" i="2"/>
  <c r="C116" i="2"/>
  <c r="C114" i="2"/>
  <c r="C106" i="2"/>
  <c r="F116" i="2"/>
  <c r="F108" i="3"/>
  <c r="C107" i="3" s="1"/>
  <c r="C112" i="3" s="1"/>
  <c r="F107" i="2"/>
  <c r="F106" i="6"/>
  <c r="C105" i="6" s="1"/>
  <c r="C109" i="6" s="1"/>
  <c r="F98" i="3"/>
  <c r="C97" i="3" s="1"/>
  <c r="C102" i="3" s="1"/>
  <c r="F97" i="6"/>
  <c r="C96" i="6" s="1"/>
  <c r="C100" i="6" s="1"/>
  <c r="L94" i="2"/>
  <c r="L93" i="2"/>
  <c r="C9" i="7" l="1"/>
  <c r="C11" i="7" s="1"/>
  <c r="C119" i="2"/>
  <c r="C110" i="2"/>
  <c r="F89" i="3"/>
  <c r="C88" i="3"/>
  <c r="C92" i="3" s="1"/>
  <c r="F97" i="2"/>
  <c r="C96" i="2" s="1"/>
  <c r="C100" i="2" s="1"/>
  <c r="J87" i="2"/>
  <c r="I87" i="2"/>
  <c r="I86" i="2"/>
  <c r="F88" i="2"/>
  <c r="C87" i="2" s="1"/>
  <c r="C91" i="2" s="1"/>
  <c r="F88" i="6"/>
  <c r="C87" i="6" s="1"/>
  <c r="C91" i="6" s="1"/>
  <c r="F80" i="3"/>
  <c r="C79" i="3"/>
  <c r="C83" i="3" s="1"/>
  <c r="F79" i="2"/>
  <c r="C78" i="2" s="1"/>
  <c r="C82" i="2" s="1"/>
  <c r="C78" i="6"/>
  <c r="F79" i="6"/>
  <c r="F69" i="3"/>
  <c r="F70" i="2"/>
  <c r="C69" i="2" s="1"/>
  <c r="C73" i="2" s="1"/>
  <c r="C69" i="6"/>
  <c r="C73" i="6"/>
  <c r="F70" i="6"/>
  <c r="C70" i="3"/>
  <c r="C74" i="3" s="1"/>
  <c r="F62" i="3"/>
  <c r="C61" i="3" s="1"/>
  <c r="C65" i="3" s="1"/>
  <c r="F61" i="2"/>
  <c r="C60" i="2" s="1"/>
  <c r="C64" i="2" s="1"/>
  <c r="F61" i="6"/>
  <c r="C64" i="6"/>
  <c r="C55" i="6"/>
  <c r="F52" i="6"/>
  <c r="C51" i="6"/>
  <c r="F43" i="6"/>
  <c r="C42" i="6"/>
  <c r="C46" i="6" s="1"/>
  <c r="F34" i="6"/>
  <c r="C33" i="6" s="1"/>
  <c r="C37" i="6" s="1"/>
  <c r="C28" i="6"/>
  <c r="F25" i="6"/>
  <c r="C24" i="6"/>
  <c r="F16" i="6"/>
  <c r="C15" i="6"/>
  <c r="C19" i="6" s="1"/>
  <c r="F6" i="6"/>
  <c r="C5" i="6" s="1"/>
  <c r="C9" i="6" s="1"/>
  <c r="F52" i="3"/>
  <c r="C51" i="3" s="1"/>
  <c r="C56" i="3" s="1"/>
  <c r="F52" i="2"/>
  <c r="C51" i="2" s="1"/>
  <c r="C55" i="2" s="1"/>
  <c r="H14" i="5"/>
  <c r="I14" i="5"/>
  <c r="F16" i="5" s="1"/>
  <c r="E14" i="5"/>
  <c r="D14" i="5"/>
  <c r="F11" i="5"/>
  <c r="E9" i="5"/>
  <c r="I6" i="5"/>
  <c r="H9" i="5" s="1"/>
  <c r="E6" i="5"/>
  <c r="E5" i="5"/>
  <c r="F43" i="3"/>
  <c r="C42" i="3" s="1"/>
  <c r="C46" i="3" s="1"/>
  <c r="F43" i="2"/>
  <c r="C42" i="2" s="1"/>
  <c r="C46" i="2" s="1"/>
  <c r="F34" i="3"/>
  <c r="C33" i="3" s="1"/>
  <c r="C37" i="3" s="1"/>
  <c r="F34" i="2"/>
  <c r="C33" i="2" s="1"/>
  <c r="C37" i="2" s="1"/>
  <c r="F25" i="3"/>
  <c r="C24" i="3" s="1"/>
  <c r="C28" i="3" s="1"/>
  <c r="F25" i="2"/>
  <c r="C24" i="2" s="1"/>
  <c r="C28" i="2" s="1"/>
  <c r="F16" i="3"/>
  <c r="C15" i="3" s="1"/>
  <c r="C19" i="3" s="1"/>
  <c r="F6" i="3"/>
  <c r="C5" i="3" s="1"/>
  <c r="C9" i="3" s="1"/>
  <c r="F16" i="2"/>
  <c r="C15" i="2" s="1"/>
  <c r="F6" i="2"/>
  <c r="C5" i="2" s="1"/>
  <c r="C9" i="2" s="1"/>
  <c r="C82" i="6" l="1"/>
  <c r="C19" i="2"/>
</calcChain>
</file>

<file path=xl/sharedStrings.xml><?xml version="1.0" encoding="utf-8"?>
<sst xmlns="http://schemas.openxmlformats.org/spreadsheetml/2006/main" count="513" uniqueCount="22">
  <si>
    <t>Rent</t>
  </si>
  <si>
    <t>MSEB</t>
  </si>
  <si>
    <t>Deposit</t>
  </si>
  <si>
    <t xml:space="preserve"> </t>
  </si>
  <si>
    <t>Total</t>
  </si>
  <si>
    <t>MSEB Bill</t>
  </si>
  <si>
    <t>Water Supply  Charges</t>
  </si>
  <si>
    <t>Meeter Reading</t>
  </si>
  <si>
    <t>Water Tanker</t>
  </si>
  <si>
    <t>Total Rent</t>
  </si>
  <si>
    <t>s</t>
  </si>
  <si>
    <t>Months</t>
  </si>
  <si>
    <t>Diff</t>
  </si>
  <si>
    <t>1st Year</t>
  </si>
  <si>
    <t>2nd Year</t>
  </si>
  <si>
    <t>Last Month Pending</t>
  </si>
  <si>
    <t>Cleaning Charges</t>
  </si>
  <si>
    <t>Refund</t>
  </si>
  <si>
    <t xml:space="preserve">Toal </t>
  </si>
  <si>
    <t>Deposit Recevied</t>
  </si>
  <si>
    <t>Date</t>
  </si>
  <si>
    <t>Water Supply 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</si>
</sst>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2" xfId="0" applyBorder="1"/>
    <xf numFmtId="0" fontId="1" fillId="3" borderId="3" xfId="0" applyFont="1" applyFill="1" applyBorder="1"/>
    <xf numFmtId="0" fontId="1" fillId="3" borderId="4" xfId="0" applyFont="1" applyFill="1" applyBorder="1"/>
    <xf numFmtId="0" fontId="0" fillId="3" borderId="5" xfId="0" applyFill="1" applyBorder="1"/>
    <xf numFmtId="0" fontId="0" fillId="0" borderId="6" xfId="0" applyBorder="1"/>
    <xf numFmtId="15" fontId="0" fillId="0" borderId="6" xfId="0" applyNumberFormat="1" applyBorder="1"/>
    <xf numFmtId="0" fontId="0" fillId="0" borderId="7" xfId="0" applyBorder="1"/>
    <xf numFmtId="15" fontId="0" fillId="0" borderId="2" xfId="0" applyNumberFormat="1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8" xfId="0" applyBorder="1"/>
    <xf numFmtId="0" fontId="1" fillId="3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3" borderId="4" xfId="0" applyFont="1" applyFill="1" applyBorder="1" applyAlignment="1">
      <alignment horizontal="right" vertical="center"/>
    </xf>
    <xf numFmtId="0" fontId="1" fillId="0" borderId="9" xfId="0" applyFont="1" applyBorder="1"/>
    <xf numFmtId="15" fontId="0" fillId="0" borderId="20" xfId="0" applyNumberFormat="1" applyBorder="1"/>
    <xf numFmtId="0" fontId="0" fillId="0" borderId="11" xfId="0" applyBorder="1"/>
    <xf numFmtId="0" fontId="0" fillId="0" borderId="21" xfId="0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/>
    <xf numFmtId="0" fontId="0" fillId="0" borderId="22" xfId="0" applyBorder="1"/>
    <xf numFmtId="0" fontId="1" fillId="0" borderId="16" xfId="0" applyFont="1" applyBorder="1"/>
    <xf numFmtId="0" fontId="1" fillId="2" borderId="8" xfId="0" applyFont="1" applyFill="1" applyBorder="1"/>
    <xf numFmtId="0" fontId="1" fillId="2" borderId="9" xfId="0" applyFont="1" applyFill="1" applyBorder="1"/>
    <xf numFmtId="0" fontId="2" fillId="4" borderId="19" xfId="0" applyFont="1" applyFill="1" applyBorder="1" applyAlignment="1">
      <alignment vertical="center"/>
    </xf>
    <xf numFmtId="15" fontId="0" fillId="0" borderId="0" xfId="0" applyNumberFormat="1"/>
    <xf numFmtId="0" fontId="2" fillId="4" borderId="2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2" fillId="4" borderId="1" xfId="0" applyFont="1" applyFill="1" applyBorder="1" applyAlignment="1">
      <alignment vertical="center"/>
    </xf>
    <xf numFmtId="15" fontId="0" fillId="0" borderId="1" xfId="0" applyNumberFormat="1" applyBorder="1"/>
    <xf numFmtId="0" fontId="3" fillId="6" borderId="0" xfId="0" applyFont="1" applyFill="1"/>
    <xf numFmtId="17" fontId="2" fillId="3" borderId="8" xfId="0" applyNumberFormat="1" applyFont="1" applyFill="1" applyBorder="1" applyAlignment="1">
      <alignment horizontal="center" vertical="center"/>
    </xf>
    <xf numFmtId="17" fontId="2" fillId="3" borderId="11" xfId="0" applyNumberFormat="1" applyFont="1" applyFill="1" applyBorder="1" applyAlignment="1">
      <alignment horizontal="center" vertical="center"/>
    </xf>
    <xf numFmtId="17" fontId="2" fillId="3" borderId="9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17" fontId="1" fillId="3" borderId="8" xfId="0" applyNumberFormat="1" applyFont="1" applyFill="1" applyBorder="1" applyAlignment="1">
      <alignment horizontal="center" vertical="center"/>
    </xf>
    <xf numFmtId="17" fontId="1" fillId="3" borderId="11" xfId="0" applyNumberFormat="1" applyFont="1" applyFill="1" applyBorder="1" applyAlignment="1">
      <alignment horizontal="center" vertical="center"/>
    </xf>
    <xf numFmtId="17" fontId="1" fillId="3" borderId="9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7" fontId="2" fillId="3" borderId="8" xfId="0" applyNumberFormat="1" applyFont="1" applyFill="1" applyBorder="1" applyAlignment="1">
      <alignment horizontal="center" vertical="top"/>
    </xf>
    <xf numFmtId="17" fontId="2" fillId="3" borderId="11" xfId="0" applyNumberFormat="1" applyFont="1" applyFill="1" applyBorder="1" applyAlignment="1">
      <alignment horizontal="center" vertical="top"/>
    </xf>
    <xf numFmtId="17" fontId="2" fillId="3" borderId="9" xfId="0" applyNumberFormat="1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79538-DA65-4FFA-BB91-FBD68B6064D2}">
  <dimension ref="B1:K163"/>
  <sheetViews>
    <sheetView topLeftCell="A153" workbookViewId="0">
      <selection activeCell="I163" sqref="I163"/>
    </sheetView>
  </sheetViews>
  <sheetFormatPr defaultRowHeight="14.5" x14ac:dyDescent="0.35"/>
  <cols>
    <col min="2" max="2" width="19.7265625" bestFit="1" customWidth="1"/>
    <col min="3" max="3" width="10.26953125" customWidth="1"/>
    <col min="5" max="5" width="14.08984375" bestFit="1" customWidth="1"/>
    <col min="6" max="6" width="11.54296875" customWidth="1"/>
  </cols>
  <sheetData>
    <row r="1" spans="2:11" ht="15" thickBot="1" x14ac:dyDescent="0.4"/>
    <row r="2" spans="2:11" ht="16" thickBot="1" x14ac:dyDescent="0.4">
      <c r="B2" s="47">
        <v>45717</v>
      </c>
      <c r="C2" s="48"/>
      <c r="D2" s="48"/>
      <c r="E2" s="48"/>
      <c r="F2" s="49"/>
    </row>
    <row r="3" spans="2:11" ht="17" customHeight="1" thickBot="1" x14ac:dyDescent="0.4">
      <c r="B3" s="50" t="s">
        <v>0</v>
      </c>
      <c r="C3" s="51"/>
      <c r="D3" s="52"/>
      <c r="E3" s="53" t="s">
        <v>7</v>
      </c>
      <c r="F3" s="52"/>
    </row>
    <row r="4" spans="2:11" x14ac:dyDescent="0.35">
      <c r="B4" s="13" t="s">
        <v>0</v>
      </c>
      <c r="C4" s="7">
        <v>5500</v>
      </c>
      <c r="D4" s="14"/>
      <c r="E4" s="27">
        <v>45755</v>
      </c>
      <c r="F4" s="14">
        <v>4581</v>
      </c>
    </row>
    <row r="5" spans="2:11" ht="15" thickBot="1" x14ac:dyDescent="0.4">
      <c r="B5" s="15" t="s">
        <v>5</v>
      </c>
      <c r="C5" s="1">
        <f>F6*12</f>
        <v>576</v>
      </c>
      <c r="D5" s="29"/>
      <c r="E5" s="27">
        <v>45724</v>
      </c>
      <c r="F5" s="14">
        <v>4533</v>
      </c>
    </row>
    <row r="6" spans="2:11" ht="15" thickBot="1" x14ac:dyDescent="0.4">
      <c r="B6" s="15" t="s">
        <v>6</v>
      </c>
      <c r="C6" s="1">
        <v>60</v>
      </c>
      <c r="D6" s="29"/>
      <c r="E6" s="28"/>
      <c r="F6" s="26">
        <f>F4-F5</f>
        <v>48</v>
      </c>
    </row>
    <row r="7" spans="2:11" x14ac:dyDescent="0.35">
      <c r="B7" s="15" t="s">
        <v>8</v>
      </c>
      <c r="C7" s="1">
        <v>140</v>
      </c>
      <c r="D7" s="29"/>
      <c r="F7" s="17"/>
    </row>
    <row r="8" spans="2:11" ht="15" thickBot="1" x14ac:dyDescent="0.4">
      <c r="B8" s="18"/>
      <c r="C8" s="3"/>
      <c r="D8" s="16"/>
      <c r="F8" s="17"/>
    </row>
    <row r="9" spans="2:11" ht="15" thickBot="1" x14ac:dyDescent="0.4">
      <c r="B9" s="21" t="s">
        <v>4</v>
      </c>
      <c r="C9" s="25">
        <f>SUM(C4:C8)</f>
        <v>6276</v>
      </c>
      <c r="D9" s="22"/>
      <c r="E9" s="23"/>
      <c r="F9" s="24"/>
    </row>
    <row r="11" spans="2:11" ht="15" thickBot="1" x14ac:dyDescent="0.4">
      <c r="K11" t="s">
        <v>3</v>
      </c>
    </row>
    <row r="12" spans="2:11" ht="16" thickBot="1" x14ac:dyDescent="0.4">
      <c r="B12" s="47">
        <v>45748</v>
      </c>
      <c r="C12" s="48"/>
      <c r="D12" s="48"/>
      <c r="E12" s="48"/>
      <c r="F12" s="49"/>
    </row>
    <row r="13" spans="2:11" ht="19.5" customHeight="1" thickBot="1" x14ac:dyDescent="0.4">
      <c r="B13" s="50" t="s">
        <v>0</v>
      </c>
      <c r="C13" s="51"/>
      <c r="D13" s="52"/>
      <c r="E13" s="53" t="s">
        <v>7</v>
      </c>
      <c r="F13" s="52"/>
    </row>
    <row r="14" spans="2:11" x14ac:dyDescent="0.35">
      <c r="B14" s="13" t="s">
        <v>0</v>
      </c>
      <c r="C14" s="7">
        <v>5500</v>
      </c>
      <c r="D14" s="14"/>
      <c r="E14" s="27">
        <v>45785</v>
      </c>
      <c r="F14" s="14">
        <v>4625</v>
      </c>
    </row>
    <row r="15" spans="2:11" ht="15" thickBot="1" x14ac:dyDescent="0.4">
      <c r="B15" s="15" t="s">
        <v>5</v>
      </c>
      <c r="C15" s="1">
        <f>F16*12</f>
        <v>528</v>
      </c>
      <c r="D15" s="29"/>
      <c r="E15" s="27">
        <v>45755</v>
      </c>
      <c r="F15" s="14">
        <v>4581</v>
      </c>
    </row>
    <row r="16" spans="2:11" ht="15" thickBot="1" x14ac:dyDescent="0.4">
      <c r="B16" s="15" t="s">
        <v>6</v>
      </c>
      <c r="C16" s="1">
        <v>60</v>
      </c>
      <c r="D16" s="29"/>
      <c r="E16" s="28"/>
      <c r="F16" s="26">
        <f>F14-F15</f>
        <v>44</v>
      </c>
    </row>
    <row r="17" spans="2:7" x14ac:dyDescent="0.35">
      <c r="B17" s="15" t="s">
        <v>3</v>
      </c>
      <c r="C17" s="1" t="s">
        <v>3</v>
      </c>
      <c r="D17" s="29"/>
      <c r="F17" s="17"/>
    </row>
    <row r="18" spans="2:7" ht="15" thickBot="1" x14ac:dyDescent="0.4">
      <c r="B18" s="18"/>
      <c r="C18" s="3"/>
      <c r="D18" s="16"/>
      <c r="F18" s="17"/>
      <c r="G18" t="s">
        <v>3</v>
      </c>
    </row>
    <row r="19" spans="2:7" ht="19" customHeight="1" thickBot="1" x14ac:dyDescent="0.4">
      <c r="B19" s="21" t="s">
        <v>9</v>
      </c>
      <c r="C19" s="25">
        <f>SUM(C14:C18)</f>
        <v>6088</v>
      </c>
      <c r="D19" s="22"/>
      <c r="E19" s="23"/>
      <c r="F19" s="24"/>
    </row>
    <row r="20" spans="2:7" ht="15" thickBot="1" x14ac:dyDescent="0.4">
      <c r="C20" t="s">
        <v>3</v>
      </c>
      <c r="D20" t="s">
        <v>3</v>
      </c>
    </row>
    <row r="21" spans="2:7" ht="16" thickBot="1" x14ac:dyDescent="0.4">
      <c r="B21" s="47">
        <v>45778</v>
      </c>
      <c r="C21" s="48"/>
      <c r="D21" s="48"/>
      <c r="E21" s="48"/>
      <c r="F21" s="49"/>
    </row>
    <row r="22" spans="2:7" ht="16" thickBot="1" x14ac:dyDescent="0.4">
      <c r="B22" s="50" t="s">
        <v>0</v>
      </c>
      <c r="C22" s="51"/>
      <c r="D22" s="52"/>
      <c r="E22" s="53" t="s">
        <v>7</v>
      </c>
      <c r="F22" s="52"/>
    </row>
    <row r="23" spans="2:7" x14ac:dyDescent="0.35">
      <c r="B23" s="13" t="s">
        <v>0</v>
      </c>
      <c r="C23" s="7">
        <v>5500</v>
      </c>
      <c r="D23" s="14"/>
      <c r="E23" s="27">
        <v>45785</v>
      </c>
      <c r="F23" s="14">
        <v>4661</v>
      </c>
    </row>
    <row r="24" spans="2:7" ht="15" thickBot="1" x14ac:dyDescent="0.4">
      <c r="B24" s="15" t="s">
        <v>5</v>
      </c>
      <c r="C24" s="1">
        <f>F25*12</f>
        <v>432</v>
      </c>
      <c r="D24" s="29"/>
      <c r="E24" s="27">
        <v>45755</v>
      </c>
      <c r="F24" s="14">
        <v>4625</v>
      </c>
    </row>
    <row r="25" spans="2:7" ht="15" thickBot="1" x14ac:dyDescent="0.4">
      <c r="B25" s="15" t="s">
        <v>6</v>
      </c>
      <c r="C25" s="1">
        <v>60</v>
      </c>
      <c r="D25" s="29"/>
      <c r="E25" s="28"/>
      <c r="F25" s="26">
        <f>F23-F24</f>
        <v>36</v>
      </c>
    </row>
    <row r="26" spans="2:7" x14ac:dyDescent="0.35">
      <c r="B26" s="15" t="s">
        <v>3</v>
      </c>
      <c r="C26" s="1" t="s">
        <v>3</v>
      </c>
      <c r="D26" s="29"/>
      <c r="F26" s="17"/>
    </row>
    <row r="27" spans="2:7" ht="15" thickBot="1" x14ac:dyDescent="0.4">
      <c r="B27" s="18"/>
      <c r="C27" s="3"/>
      <c r="D27" s="16"/>
      <c r="F27" s="17"/>
    </row>
    <row r="28" spans="2:7" ht="15" thickBot="1" x14ac:dyDescent="0.4">
      <c r="B28" s="21" t="s">
        <v>9</v>
      </c>
      <c r="C28" s="25">
        <f>SUM(C23:C27)</f>
        <v>5992</v>
      </c>
      <c r="D28" s="22"/>
      <c r="E28" s="23"/>
      <c r="F28" s="24"/>
    </row>
    <row r="29" spans="2:7" ht="15" thickBot="1" x14ac:dyDescent="0.4"/>
    <row r="30" spans="2:7" ht="16" thickBot="1" x14ac:dyDescent="0.4">
      <c r="B30" s="47">
        <v>45809</v>
      </c>
      <c r="C30" s="48"/>
      <c r="D30" s="48"/>
      <c r="E30" s="48"/>
      <c r="F30" s="49"/>
    </row>
    <row r="31" spans="2:7" ht="16" thickBot="1" x14ac:dyDescent="0.4">
      <c r="B31" s="50" t="s">
        <v>0</v>
      </c>
      <c r="C31" s="51"/>
      <c r="D31" s="52"/>
      <c r="E31" s="53" t="s">
        <v>7</v>
      </c>
      <c r="F31" s="52"/>
    </row>
    <row r="32" spans="2:7" x14ac:dyDescent="0.35">
      <c r="B32" s="13" t="s">
        <v>0</v>
      </c>
      <c r="C32" s="7">
        <v>5500</v>
      </c>
      <c r="D32" s="14"/>
      <c r="E32" s="27">
        <v>45816</v>
      </c>
      <c r="F32" s="14">
        <v>4704</v>
      </c>
    </row>
    <row r="33" spans="2:6" ht="15" thickBot="1" x14ac:dyDescent="0.4">
      <c r="B33" s="15" t="s">
        <v>5</v>
      </c>
      <c r="C33" s="1">
        <f>F34*12</f>
        <v>516</v>
      </c>
      <c r="D33" s="29"/>
      <c r="E33" s="27">
        <v>45785</v>
      </c>
      <c r="F33" s="14">
        <v>4661</v>
      </c>
    </row>
    <row r="34" spans="2:6" ht="15" thickBot="1" x14ac:dyDescent="0.4">
      <c r="B34" s="15" t="s">
        <v>6</v>
      </c>
      <c r="C34" s="1">
        <v>60</v>
      </c>
      <c r="D34" s="29"/>
      <c r="E34" s="28"/>
      <c r="F34" s="26">
        <f>F32-F33</f>
        <v>43</v>
      </c>
    </row>
    <row r="35" spans="2:6" x14ac:dyDescent="0.35">
      <c r="B35" s="15" t="s">
        <v>3</v>
      </c>
      <c r="C35" s="1" t="s">
        <v>3</v>
      </c>
      <c r="D35" s="29"/>
      <c r="F35" s="17"/>
    </row>
    <row r="36" spans="2:6" ht="15" thickBot="1" x14ac:dyDescent="0.4">
      <c r="B36" s="18"/>
      <c r="C36" s="3"/>
      <c r="D36" s="16"/>
      <c r="F36" s="17"/>
    </row>
    <row r="37" spans="2:6" ht="15" thickBot="1" x14ac:dyDescent="0.4">
      <c r="B37" s="21" t="s">
        <v>9</v>
      </c>
      <c r="C37" s="25">
        <f>SUM(C32:C36)</f>
        <v>6076</v>
      </c>
      <c r="D37" s="22"/>
      <c r="E37" s="23"/>
      <c r="F37" s="24"/>
    </row>
    <row r="38" spans="2:6" ht="15" thickBot="1" x14ac:dyDescent="0.4"/>
    <row r="39" spans="2:6" ht="16" thickBot="1" x14ac:dyDescent="0.4">
      <c r="B39" s="47">
        <v>45839</v>
      </c>
      <c r="C39" s="48"/>
      <c r="D39" s="48"/>
      <c r="E39" s="48"/>
      <c r="F39" s="49"/>
    </row>
    <row r="40" spans="2:6" ht="16" thickBot="1" x14ac:dyDescent="0.4">
      <c r="B40" s="50" t="s">
        <v>0</v>
      </c>
      <c r="C40" s="51"/>
      <c r="D40" s="52"/>
      <c r="E40" s="53" t="s">
        <v>7</v>
      </c>
      <c r="F40" s="52"/>
    </row>
    <row r="41" spans="2:6" x14ac:dyDescent="0.35">
      <c r="B41" s="13" t="s">
        <v>0</v>
      </c>
      <c r="C41" s="7">
        <v>5500</v>
      </c>
      <c r="D41" s="14"/>
      <c r="E41" s="27">
        <v>45816</v>
      </c>
      <c r="F41" s="14">
        <v>4742</v>
      </c>
    </row>
    <row r="42" spans="2:6" ht="15" thickBot="1" x14ac:dyDescent="0.4">
      <c r="B42" s="15" t="s">
        <v>5</v>
      </c>
      <c r="C42" s="1">
        <f>F43*12</f>
        <v>456</v>
      </c>
      <c r="D42" s="29"/>
      <c r="E42" s="27">
        <v>45785</v>
      </c>
      <c r="F42" s="14">
        <v>4704</v>
      </c>
    </row>
    <row r="43" spans="2:6" ht="15" thickBot="1" x14ac:dyDescent="0.4">
      <c r="B43" s="15" t="s">
        <v>6</v>
      </c>
      <c r="C43" s="1">
        <v>60</v>
      </c>
      <c r="D43" s="29"/>
      <c r="E43" s="28"/>
      <c r="F43" s="26">
        <f>F41-F42</f>
        <v>38</v>
      </c>
    </row>
    <row r="44" spans="2:6" x14ac:dyDescent="0.35">
      <c r="B44" s="15" t="s">
        <v>8</v>
      </c>
      <c r="C44" s="1">
        <v>70</v>
      </c>
      <c r="D44" s="29"/>
      <c r="F44" s="17"/>
    </row>
    <row r="45" spans="2:6" ht="15" thickBot="1" x14ac:dyDescent="0.4">
      <c r="B45" s="18"/>
      <c r="C45" s="3"/>
      <c r="D45" s="16"/>
      <c r="F45" s="17"/>
    </row>
    <row r="46" spans="2:6" ht="15" thickBot="1" x14ac:dyDescent="0.4">
      <c r="B46" s="21" t="s">
        <v>9</v>
      </c>
      <c r="C46" s="25">
        <f>SUM(C41:C45)</f>
        <v>6086</v>
      </c>
      <c r="D46" s="22"/>
      <c r="E46" s="23"/>
      <c r="F46" s="24"/>
    </row>
    <row r="47" spans="2:6" ht="15" thickBot="1" x14ac:dyDescent="0.4"/>
    <row r="48" spans="2:6" ht="16" thickBot="1" x14ac:dyDescent="0.4">
      <c r="B48" s="47">
        <v>45870</v>
      </c>
      <c r="C48" s="48"/>
      <c r="D48" s="48"/>
      <c r="E48" s="48"/>
      <c r="F48" s="49"/>
    </row>
    <row r="49" spans="2:6" ht="16" thickBot="1" x14ac:dyDescent="0.4">
      <c r="B49" s="50" t="s">
        <v>0</v>
      </c>
      <c r="C49" s="51"/>
      <c r="D49" s="52"/>
      <c r="E49" s="53" t="s">
        <v>7</v>
      </c>
      <c r="F49" s="52"/>
    </row>
    <row r="50" spans="2:6" x14ac:dyDescent="0.35">
      <c r="B50" s="13" t="s">
        <v>0</v>
      </c>
      <c r="C50" s="7">
        <v>5500</v>
      </c>
      <c r="D50" s="14"/>
      <c r="E50" s="27">
        <v>45877</v>
      </c>
      <c r="F50" s="14">
        <v>4787</v>
      </c>
    </row>
    <row r="51" spans="2:6" ht="15" thickBot="1" x14ac:dyDescent="0.4">
      <c r="B51" s="15" t="s">
        <v>5</v>
      </c>
      <c r="C51" s="1">
        <f>F52*12</f>
        <v>540</v>
      </c>
      <c r="D51" s="29"/>
      <c r="E51" s="27">
        <v>45846</v>
      </c>
      <c r="F51" s="14">
        <v>4742</v>
      </c>
    </row>
    <row r="52" spans="2:6" ht="15" thickBot="1" x14ac:dyDescent="0.4">
      <c r="B52" s="15" t="s">
        <v>6</v>
      </c>
      <c r="C52" s="1">
        <v>60</v>
      </c>
      <c r="D52" s="29"/>
      <c r="E52" s="28"/>
      <c r="F52" s="26">
        <f>F50-F51</f>
        <v>45</v>
      </c>
    </row>
    <row r="53" spans="2:6" x14ac:dyDescent="0.35">
      <c r="B53" s="15" t="s">
        <v>8</v>
      </c>
      <c r="C53" s="1">
        <v>0</v>
      </c>
      <c r="D53" s="29"/>
      <c r="F53" s="17"/>
    </row>
    <row r="54" spans="2:6" ht="15" thickBot="1" x14ac:dyDescent="0.4">
      <c r="B54" s="18"/>
      <c r="C54" s="3"/>
      <c r="D54" s="16"/>
      <c r="F54" s="17"/>
    </row>
    <row r="55" spans="2:6" ht="15" thickBot="1" x14ac:dyDescent="0.4">
      <c r="B55" s="21" t="s">
        <v>9</v>
      </c>
      <c r="C55" s="25">
        <f>SUM(C50:C54)</f>
        <v>6100</v>
      </c>
      <c r="D55" s="22"/>
      <c r="E55" s="23"/>
      <c r="F55" s="24"/>
    </row>
    <row r="56" spans="2:6" ht="15" thickBot="1" x14ac:dyDescent="0.4"/>
    <row r="57" spans="2:6" ht="16" thickBot="1" x14ac:dyDescent="0.4">
      <c r="B57" s="47">
        <v>45901</v>
      </c>
      <c r="C57" s="48"/>
      <c r="D57" s="48"/>
      <c r="E57" s="48"/>
      <c r="F57" s="49"/>
    </row>
    <row r="58" spans="2:6" ht="16" thickBot="1" x14ac:dyDescent="0.4">
      <c r="B58" s="50" t="s">
        <v>0</v>
      </c>
      <c r="C58" s="51"/>
      <c r="D58" s="52"/>
      <c r="E58" s="53" t="s">
        <v>7</v>
      </c>
      <c r="F58" s="52"/>
    </row>
    <row r="59" spans="2:6" x14ac:dyDescent="0.35">
      <c r="B59" s="13" t="s">
        <v>0</v>
      </c>
      <c r="C59" s="7">
        <v>5000</v>
      </c>
      <c r="D59" s="14"/>
      <c r="E59" s="27">
        <v>45908</v>
      </c>
      <c r="F59" s="14">
        <v>0</v>
      </c>
    </row>
    <row r="60" spans="2:6" ht="15" thickBot="1" x14ac:dyDescent="0.4">
      <c r="B60" s="15" t="s">
        <v>5</v>
      </c>
      <c r="C60" s="1">
        <v>0</v>
      </c>
      <c r="D60" s="29"/>
      <c r="E60" s="27">
        <v>45877</v>
      </c>
      <c r="F60" s="14">
        <v>0</v>
      </c>
    </row>
    <row r="61" spans="2:6" ht="15" thickBot="1" x14ac:dyDescent="0.4">
      <c r="B61" s="15" t="s">
        <v>6</v>
      </c>
      <c r="C61" s="1">
        <v>60</v>
      </c>
      <c r="D61" s="29"/>
      <c r="E61" s="28"/>
      <c r="F61" s="26">
        <f>F59-F60</f>
        <v>0</v>
      </c>
    </row>
    <row r="62" spans="2:6" x14ac:dyDescent="0.35">
      <c r="B62" s="15" t="s">
        <v>8</v>
      </c>
      <c r="C62" s="1">
        <v>180</v>
      </c>
      <c r="D62" s="29"/>
      <c r="F62" s="17"/>
    </row>
    <row r="63" spans="2:6" ht="15" thickBot="1" x14ac:dyDescent="0.4">
      <c r="B63" s="18"/>
      <c r="C63" s="3"/>
      <c r="D63" s="16"/>
      <c r="F63" s="17"/>
    </row>
    <row r="64" spans="2:6" ht="15" thickBot="1" x14ac:dyDescent="0.4">
      <c r="B64" s="21" t="s">
        <v>9</v>
      </c>
      <c r="C64" s="25">
        <f>SUM(C59:C63)</f>
        <v>5240</v>
      </c>
      <c r="D64" s="22"/>
      <c r="E64" s="23"/>
      <c r="F64" s="24"/>
    </row>
    <row r="65" spans="2:7" ht="15" thickBot="1" x14ac:dyDescent="0.4"/>
    <row r="66" spans="2:7" ht="16" thickBot="1" x14ac:dyDescent="0.4">
      <c r="B66" s="47">
        <v>45931</v>
      </c>
      <c r="C66" s="48"/>
      <c r="D66" s="48"/>
      <c r="E66" s="48"/>
      <c r="F66" s="49"/>
    </row>
    <row r="67" spans="2:7" ht="16" thickBot="1" x14ac:dyDescent="0.4">
      <c r="B67" s="50" t="s">
        <v>0</v>
      </c>
      <c r="C67" s="51"/>
      <c r="D67" s="52"/>
      <c r="E67" s="53" t="s">
        <v>7</v>
      </c>
      <c r="F67" s="52"/>
    </row>
    <row r="68" spans="2:7" x14ac:dyDescent="0.35">
      <c r="B68" s="13" t="s">
        <v>0</v>
      </c>
      <c r="C68" s="7">
        <v>5000</v>
      </c>
      <c r="D68" s="14"/>
      <c r="E68" s="27">
        <v>45938</v>
      </c>
      <c r="F68" s="14">
        <v>10</v>
      </c>
    </row>
    <row r="69" spans="2:7" ht="15" thickBot="1" x14ac:dyDescent="0.4">
      <c r="B69" s="15" t="s">
        <v>5</v>
      </c>
      <c r="C69" s="1">
        <f>12*F70</f>
        <v>120</v>
      </c>
      <c r="D69" s="29"/>
      <c r="E69" s="27">
        <v>45969</v>
      </c>
      <c r="F69" s="14">
        <v>0</v>
      </c>
    </row>
    <row r="70" spans="2:7" ht="15" thickBot="1" x14ac:dyDescent="0.4">
      <c r="B70" s="15" t="s">
        <v>6</v>
      </c>
      <c r="C70" s="1">
        <v>60</v>
      </c>
      <c r="D70" s="29"/>
      <c r="E70" s="28"/>
      <c r="F70" s="26">
        <f>F68-F69</f>
        <v>10</v>
      </c>
    </row>
    <row r="71" spans="2:7" x14ac:dyDescent="0.35">
      <c r="B71" s="15" t="s">
        <v>8</v>
      </c>
      <c r="C71" s="1">
        <v>0</v>
      </c>
      <c r="D71" s="29"/>
      <c r="F71" s="17"/>
    </row>
    <row r="72" spans="2:7" ht="15" thickBot="1" x14ac:dyDescent="0.4">
      <c r="B72" s="18"/>
      <c r="C72" s="3"/>
      <c r="D72" s="16"/>
      <c r="F72" s="17"/>
    </row>
    <row r="73" spans="2:7" ht="15" thickBot="1" x14ac:dyDescent="0.4">
      <c r="B73" s="21" t="s">
        <v>9</v>
      </c>
      <c r="C73" s="25">
        <f>SUM(C68:C72)</f>
        <v>5180</v>
      </c>
      <c r="D73" s="22"/>
      <c r="E73" s="23"/>
      <c r="F73" s="24"/>
    </row>
    <row r="74" spans="2:7" ht="15" thickBot="1" x14ac:dyDescent="0.4"/>
    <row r="75" spans="2:7" ht="16" thickBot="1" x14ac:dyDescent="0.4">
      <c r="B75" s="47">
        <v>45962</v>
      </c>
      <c r="C75" s="48"/>
      <c r="D75" s="48"/>
      <c r="E75" s="48"/>
      <c r="F75" s="49"/>
      <c r="G75" s="46"/>
    </row>
    <row r="76" spans="2:7" ht="16" thickBot="1" x14ac:dyDescent="0.4">
      <c r="B76" s="50" t="s">
        <v>0</v>
      </c>
      <c r="C76" s="51"/>
      <c r="D76" s="52"/>
      <c r="E76" s="53" t="s">
        <v>7</v>
      </c>
      <c r="F76" s="52"/>
    </row>
    <row r="77" spans="2:7" x14ac:dyDescent="0.35">
      <c r="B77" s="13" t="s">
        <v>0</v>
      </c>
      <c r="C77" s="7">
        <v>5500</v>
      </c>
      <c r="D77" s="14"/>
      <c r="E77" s="27">
        <v>45969</v>
      </c>
      <c r="F77" s="14">
        <v>0</v>
      </c>
    </row>
    <row r="78" spans="2:7" ht="15" thickBot="1" x14ac:dyDescent="0.4">
      <c r="B78" s="15" t="s">
        <v>5</v>
      </c>
      <c r="C78" s="1">
        <f>F79*12</f>
        <v>504</v>
      </c>
      <c r="D78" s="29"/>
      <c r="E78" s="27">
        <v>45993</v>
      </c>
      <c r="F78" s="14">
        <v>42</v>
      </c>
    </row>
    <row r="79" spans="2:7" ht="15" thickBot="1" x14ac:dyDescent="0.4">
      <c r="B79" s="15" t="s">
        <v>6</v>
      </c>
      <c r="C79" s="1">
        <v>60</v>
      </c>
      <c r="D79" s="29"/>
      <c r="E79" s="28"/>
      <c r="F79" s="26">
        <f>F78-F77</f>
        <v>42</v>
      </c>
    </row>
    <row r="80" spans="2:7" x14ac:dyDescent="0.35">
      <c r="B80" s="15" t="s">
        <v>8</v>
      </c>
      <c r="C80" s="1">
        <v>0</v>
      </c>
      <c r="D80" s="29"/>
      <c r="F80" s="17"/>
    </row>
    <row r="81" spans="2:6" ht="15" thickBot="1" x14ac:dyDescent="0.4">
      <c r="B81" s="18"/>
      <c r="C81" s="3"/>
      <c r="D81" s="16"/>
      <c r="F81" s="17"/>
    </row>
    <row r="82" spans="2:6" ht="15" thickBot="1" x14ac:dyDescent="0.4">
      <c r="B82" s="21" t="s">
        <v>9</v>
      </c>
      <c r="C82" s="25">
        <f>SUM(C77:C81)</f>
        <v>6064</v>
      </c>
      <c r="D82" s="22"/>
      <c r="E82" s="23"/>
      <c r="F82" s="24"/>
    </row>
    <row r="83" spans="2:6" ht="15" thickBot="1" x14ac:dyDescent="0.4"/>
    <row r="84" spans="2:6" ht="16" thickBot="1" x14ac:dyDescent="0.4">
      <c r="B84" s="47">
        <v>45992</v>
      </c>
      <c r="C84" s="48"/>
      <c r="D84" s="48"/>
      <c r="E84" s="48"/>
      <c r="F84" s="49"/>
    </row>
    <row r="85" spans="2:6" ht="16" thickBot="1" x14ac:dyDescent="0.4">
      <c r="B85" s="50" t="s">
        <v>0</v>
      </c>
      <c r="C85" s="51"/>
      <c r="D85" s="52"/>
      <c r="E85" s="53" t="s">
        <v>7</v>
      </c>
      <c r="F85" s="52"/>
    </row>
    <row r="86" spans="2:6" x14ac:dyDescent="0.35">
      <c r="B86" s="13" t="s">
        <v>0</v>
      </c>
      <c r="C86" s="7">
        <v>5500</v>
      </c>
      <c r="D86" s="14"/>
      <c r="E86" s="27">
        <v>45993</v>
      </c>
      <c r="F86" s="14">
        <v>42</v>
      </c>
    </row>
    <row r="87" spans="2:6" ht="15" thickBot="1" x14ac:dyDescent="0.4">
      <c r="B87" s="15" t="s">
        <v>5</v>
      </c>
      <c r="C87" s="1">
        <f>F88*12</f>
        <v>444</v>
      </c>
      <c r="D87" s="29"/>
      <c r="E87" s="27">
        <v>46024</v>
      </c>
      <c r="F87" s="14">
        <v>79</v>
      </c>
    </row>
    <row r="88" spans="2:6" ht="15" thickBot="1" x14ac:dyDescent="0.4">
      <c r="B88" s="15" t="s">
        <v>6</v>
      </c>
      <c r="C88" s="1">
        <v>60</v>
      </c>
      <c r="D88" s="29"/>
      <c r="E88" s="28"/>
      <c r="F88" s="26">
        <f>F87-F86</f>
        <v>37</v>
      </c>
    </row>
    <row r="89" spans="2:6" x14ac:dyDescent="0.35">
      <c r="B89" s="15" t="s">
        <v>8</v>
      </c>
      <c r="C89" s="1">
        <v>0</v>
      </c>
      <c r="D89" s="29"/>
      <c r="F89" s="17"/>
    </row>
    <row r="90" spans="2:6" ht="15" thickBot="1" x14ac:dyDescent="0.4">
      <c r="B90" s="18"/>
      <c r="C90" s="3"/>
      <c r="D90" s="16"/>
      <c r="F90" s="17"/>
    </row>
    <row r="91" spans="2:6" ht="15" thickBot="1" x14ac:dyDescent="0.4">
      <c r="B91" s="21" t="s">
        <v>9</v>
      </c>
      <c r="C91" s="25">
        <f>SUM(C86:C90)</f>
        <v>6004</v>
      </c>
      <c r="D91" s="22"/>
      <c r="E91" s="23"/>
      <c r="F91" s="24"/>
    </row>
    <row r="92" spans="2:6" ht="15" thickBot="1" x14ac:dyDescent="0.4"/>
    <row r="93" spans="2:6" ht="16" thickBot="1" x14ac:dyDescent="0.4">
      <c r="B93" s="47">
        <v>46023</v>
      </c>
      <c r="C93" s="48"/>
      <c r="D93" s="48"/>
      <c r="E93" s="48"/>
      <c r="F93" s="49"/>
    </row>
    <row r="94" spans="2:6" ht="16" thickBot="1" x14ac:dyDescent="0.4">
      <c r="B94" s="50" t="s">
        <v>0</v>
      </c>
      <c r="C94" s="51"/>
      <c r="D94" s="52"/>
      <c r="E94" s="53" t="s">
        <v>7</v>
      </c>
      <c r="F94" s="52"/>
    </row>
    <row r="95" spans="2:6" x14ac:dyDescent="0.35">
      <c r="B95" s="13" t="s">
        <v>0</v>
      </c>
      <c r="C95" s="7">
        <v>5500</v>
      </c>
      <c r="D95" s="14"/>
      <c r="E95" s="27">
        <v>46024</v>
      </c>
      <c r="F95" s="14">
        <v>79</v>
      </c>
    </row>
    <row r="96" spans="2:6" ht="15" thickBot="1" x14ac:dyDescent="0.4">
      <c r="B96" s="15" t="s">
        <v>5</v>
      </c>
      <c r="C96" s="1">
        <f>F97*12</f>
        <v>420</v>
      </c>
      <c r="D96" s="29"/>
      <c r="E96" s="27">
        <v>46055</v>
      </c>
      <c r="F96" s="14">
        <v>114</v>
      </c>
    </row>
    <row r="97" spans="2:7" ht="15" thickBot="1" x14ac:dyDescent="0.4">
      <c r="B97" s="15" t="s">
        <v>6</v>
      </c>
      <c r="C97" s="1">
        <v>60</v>
      </c>
      <c r="D97" s="29"/>
      <c r="E97" s="28"/>
      <c r="F97" s="26">
        <f>F96-F95</f>
        <v>35</v>
      </c>
      <c r="G97" t="s">
        <v>3</v>
      </c>
    </row>
    <row r="98" spans="2:7" x14ac:dyDescent="0.35">
      <c r="B98" s="15" t="s">
        <v>8</v>
      </c>
      <c r="C98" s="1">
        <v>0</v>
      </c>
      <c r="D98" s="29"/>
      <c r="F98" s="17"/>
    </row>
    <row r="99" spans="2:7" ht="15" thickBot="1" x14ac:dyDescent="0.4">
      <c r="B99" s="18"/>
      <c r="C99" s="3"/>
      <c r="D99" s="16"/>
      <c r="F99" s="17"/>
    </row>
    <row r="100" spans="2:7" ht="15" thickBot="1" x14ac:dyDescent="0.4">
      <c r="B100" s="21" t="s">
        <v>9</v>
      </c>
      <c r="C100" s="25">
        <f>SUM(C95:C99)</f>
        <v>5980</v>
      </c>
      <c r="D100" s="22"/>
      <c r="E100" s="23"/>
      <c r="F100" s="24"/>
    </row>
    <row r="101" spans="2:7" ht="15" thickBot="1" x14ac:dyDescent="0.4"/>
    <row r="102" spans="2:7" ht="16" thickBot="1" x14ac:dyDescent="0.4">
      <c r="B102" s="47">
        <v>46055</v>
      </c>
      <c r="C102" s="48"/>
      <c r="D102" s="48"/>
      <c r="E102" s="48"/>
      <c r="F102" s="49"/>
    </row>
    <row r="103" spans="2:7" ht="16" thickBot="1" x14ac:dyDescent="0.4">
      <c r="B103" s="50" t="s">
        <v>0</v>
      </c>
      <c r="C103" s="51"/>
      <c r="D103" s="52"/>
      <c r="E103" s="53" t="s">
        <v>7</v>
      </c>
      <c r="F103" s="52"/>
    </row>
    <row r="104" spans="2:7" x14ac:dyDescent="0.35">
      <c r="B104" s="13" t="s">
        <v>0</v>
      </c>
      <c r="C104" s="7">
        <v>5500</v>
      </c>
      <c r="D104" s="14"/>
      <c r="E104" s="27">
        <v>46055</v>
      </c>
      <c r="F104" s="14">
        <v>114</v>
      </c>
    </row>
    <row r="105" spans="2:7" ht="15" thickBot="1" x14ac:dyDescent="0.4">
      <c r="B105" s="15" t="s">
        <v>5</v>
      </c>
      <c r="C105" s="1">
        <f>F106*12</f>
        <v>372</v>
      </c>
      <c r="D105" s="29"/>
      <c r="E105" s="27">
        <v>46088</v>
      </c>
      <c r="F105" s="14">
        <v>145</v>
      </c>
    </row>
    <row r="106" spans="2:7" ht="15" thickBot="1" x14ac:dyDescent="0.4">
      <c r="B106" s="15" t="s">
        <v>6</v>
      </c>
      <c r="C106" s="1">
        <v>60</v>
      </c>
      <c r="D106" s="29"/>
      <c r="E106" s="28"/>
      <c r="F106" s="26">
        <f>F105-F104</f>
        <v>31</v>
      </c>
    </row>
    <row r="107" spans="2:7" x14ac:dyDescent="0.35">
      <c r="B107" s="15" t="s">
        <v>8</v>
      </c>
      <c r="C107" s="1">
        <v>0</v>
      </c>
      <c r="D107" s="29"/>
      <c r="F107" s="17"/>
    </row>
    <row r="108" spans="2:7" ht="15" thickBot="1" x14ac:dyDescent="0.4">
      <c r="B108" s="18"/>
      <c r="C108" s="3"/>
      <c r="D108" s="16"/>
      <c r="F108" s="17"/>
    </row>
    <row r="109" spans="2:7" ht="15" thickBot="1" x14ac:dyDescent="0.4">
      <c r="B109" s="21" t="s">
        <v>9</v>
      </c>
      <c r="C109" s="25">
        <f>SUM(C104:C108)</f>
        <v>5932</v>
      </c>
      <c r="D109" s="22"/>
      <c r="E109" s="23"/>
      <c r="F109" s="24"/>
    </row>
    <row r="110" spans="2:7" ht="15" thickBot="1" x14ac:dyDescent="0.4"/>
    <row r="111" spans="2:7" ht="16" thickBot="1" x14ac:dyDescent="0.4">
      <c r="B111" s="47">
        <v>46083</v>
      </c>
      <c r="C111" s="48"/>
      <c r="D111" s="48"/>
      <c r="E111" s="48"/>
      <c r="F111" s="49"/>
    </row>
    <row r="112" spans="2:7" ht="16" thickBot="1" x14ac:dyDescent="0.4">
      <c r="B112" s="50" t="s">
        <v>0</v>
      </c>
      <c r="C112" s="51"/>
      <c r="D112" s="52"/>
      <c r="E112" s="53" t="s">
        <v>7</v>
      </c>
      <c r="F112" s="52"/>
    </row>
    <row r="113" spans="2:6" x14ac:dyDescent="0.35">
      <c r="B113" s="13" t="s">
        <v>0</v>
      </c>
      <c r="C113" s="7">
        <v>5500</v>
      </c>
      <c r="D113" s="14"/>
      <c r="E113" s="27">
        <v>46088</v>
      </c>
      <c r="F113" s="14">
        <v>145</v>
      </c>
    </row>
    <row r="114" spans="2:6" ht="15" thickBot="1" x14ac:dyDescent="0.4">
      <c r="B114" s="15" t="s">
        <v>5</v>
      </c>
      <c r="C114" s="1">
        <f>F115*12</f>
        <v>480</v>
      </c>
      <c r="D114" s="29"/>
      <c r="E114" s="27">
        <v>46119</v>
      </c>
      <c r="F114" s="14">
        <v>185</v>
      </c>
    </row>
    <row r="115" spans="2:6" ht="15" thickBot="1" x14ac:dyDescent="0.4">
      <c r="B115" s="15" t="s">
        <v>6</v>
      </c>
      <c r="C115" s="1">
        <v>60</v>
      </c>
      <c r="D115" s="29"/>
      <c r="E115" s="28"/>
      <c r="F115" s="26">
        <f>F114-F113</f>
        <v>40</v>
      </c>
    </row>
    <row r="116" spans="2:6" x14ac:dyDescent="0.35">
      <c r="B116" s="15" t="s">
        <v>8</v>
      </c>
      <c r="C116" s="1">
        <v>0</v>
      </c>
      <c r="D116" s="29"/>
      <c r="F116" s="17"/>
    </row>
    <row r="117" spans="2:6" ht="15" thickBot="1" x14ac:dyDescent="0.4">
      <c r="B117" s="18"/>
      <c r="C117" s="3"/>
      <c r="D117" s="16"/>
      <c r="F117" s="17"/>
    </row>
    <row r="118" spans="2:6" ht="15" thickBot="1" x14ac:dyDescent="0.4">
      <c r="B118" s="21" t="s">
        <v>9</v>
      </c>
      <c r="C118" s="25">
        <f>SUM(C113:C117)</f>
        <v>6040</v>
      </c>
      <c r="D118" s="22"/>
      <c r="E118" s="23"/>
      <c r="F118" s="24"/>
    </row>
    <row r="119" spans="2:6" ht="15" thickBot="1" x14ac:dyDescent="0.4"/>
    <row r="120" spans="2:6" ht="16" thickBot="1" x14ac:dyDescent="0.4">
      <c r="B120" s="47">
        <v>46114</v>
      </c>
      <c r="C120" s="48"/>
      <c r="D120" s="48"/>
      <c r="E120" s="48"/>
      <c r="F120" s="49"/>
    </row>
    <row r="121" spans="2:6" ht="16" thickBot="1" x14ac:dyDescent="0.4">
      <c r="B121" s="50" t="s">
        <v>0</v>
      </c>
      <c r="C121" s="51"/>
      <c r="D121" s="52"/>
      <c r="E121" s="53" t="s">
        <v>7</v>
      </c>
      <c r="F121" s="52"/>
    </row>
    <row r="122" spans="2:6" x14ac:dyDescent="0.35">
      <c r="B122" s="13" t="s">
        <v>0</v>
      </c>
      <c r="C122" s="7">
        <v>5500</v>
      </c>
      <c r="D122" s="14"/>
      <c r="E122" s="27">
        <v>46119</v>
      </c>
      <c r="F122" s="14">
        <v>185</v>
      </c>
    </row>
    <row r="123" spans="2:6" ht="15" thickBot="1" x14ac:dyDescent="0.4">
      <c r="B123" s="15" t="s">
        <v>5</v>
      </c>
      <c r="C123" s="1">
        <f>F124*12</f>
        <v>540</v>
      </c>
      <c r="D123" s="29"/>
      <c r="E123" s="27">
        <v>46149</v>
      </c>
      <c r="F123" s="14">
        <v>230</v>
      </c>
    </row>
    <row r="124" spans="2:6" ht="15" thickBot="1" x14ac:dyDescent="0.4">
      <c r="B124" s="15" t="s">
        <v>6</v>
      </c>
      <c r="C124" s="1">
        <v>60</v>
      </c>
      <c r="D124" s="29"/>
      <c r="E124" s="28"/>
      <c r="F124" s="26">
        <f>F123-F122</f>
        <v>45</v>
      </c>
    </row>
    <row r="125" spans="2:6" x14ac:dyDescent="0.35">
      <c r="B125" s="15" t="s">
        <v>8</v>
      </c>
      <c r="C125" s="1">
        <v>0</v>
      </c>
      <c r="D125" s="29"/>
      <c r="F125" s="17"/>
    </row>
    <row r="126" spans="2:6" ht="15" thickBot="1" x14ac:dyDescent="0.4">
      <c r="B126" s="18"/>
      <c r="C126" s="3"/>
      <c r="D126" s="16"/>
      <c r="F126" s="17"/>
    </row>
    <row r="127" spans="2:6" ht="15" thickBot="1" x14ac:dyDescent="0.4">
      <c r="B127" s="21" t="s">
        <v>9</v>
      </c>
      <c r="C127" s="25">
        <f>SUM(C122:C126)</f>
        <v>6100</v>
      </c>
      <c r="D127" s="22"/>
      <c r="E127" s="23"/>
      <c r="F127" s="24"/>
    </row>
    <row r="128" spans="2:6" ht="23" customHeight="1" thickBot="1" x14ac:dyDescent="0.4"/>
    <row r="129" spans="2:6" ht="16" thickBot="1" x14ac:dyDescent="0.4">
      <c r="B129" s="47">
        <v>46144</v>
      </c>
      <c r="C129" s="48"/>
      <c r="D129" s="48"/>
      <c r="E129" s="48"/>
      <c r="F129" s="49"/>
    </row>
    <row r="130" spans="2:6" ht="16" thickBot="1" x14ac:dyDescent="0.4">
      <c r="B130" s="50" t="s">
        <v>0</v>
      </c>
      <c r="C130" s="51"/>
      <c r="D130" s="52"/>
      <c r="E130" s="53" t="s">
        <v>7</v>
      </c>
      <c r="F130" s="52"/>
    </row>
    <row r="131" spans="2:6" x14ac:dyDescent="0.35">
      <c r="B131" s="13" t="s">
        <v>0</v>
      </c>
      <c r="C131" s="7">
        <v>5500</v>
      </c>
      <c r="D131" s="14"/>
      <c r="E131" s="27">
        <v>46143</v>
      </c>
      <c r="F131" s="14">
        <v>230</v>
      </c>
    </row>
    <row r="132" spans="2:6" ht="15" thickBot="1" x14ac:dyDescent="0.4">
      <c r="B132" s="15" t="s">
        <v>5</v>
      </c>
      <c r="C132" s="1">
        <f>F133*12</f>
        <v>396</v>
      </c>
      <c r="D132" s="29"/>
      <c r="E132" s="27">
        <v>46174</v>
      </c>
      <c r="F132" s="14">
        <v>263</v>
      </c>
    </row>
    <row r="133" spans="2:6" ht="15" thickBot="1" x14ac:dyDescent="0.4">
      <c r="B133" s="15" t="s">
        <v>6</v>
      </c>
      <c r="C133" s="1">
        <v>60</v>
      </c>
      <c r="D133" s="29"/>
      <c r="E133" s="28"/>
      <c r="F133" s="26">
        <f>F132-F131</f>
        <v>33</v>
      </c>
    </row>
    <row r="134" spans="2:6" x14ac:dyDescent="0.35">
      <c r="B134" s="15" t="s">
        <v>8</v>
      </c>
      <c r="C134" s="1">
        <v>0</v>
      </c>
      <c r="D134" s="29"/>
      <c r="F134" s="17"/>
    </row>
    <row r="135" spans="2:6" ht="15" thickBot="1" x14ac:dyDescent="0.4">
      <c r="B135" s="18"/>
      <c r="C135" s="3"/>
      <c r="D135" s="16"/>
      <c r="F135" s="17"/>
    </row>
    <row r="136" spans="2:6" ht="15" thickBot="1" x14ac:dyDescent="0.4">
      <c r="B136" s="21" t="s">
        <v>9</v>
      </c>
      <c r="C136" s="25">
        <f>SUM(C131:C135)</f>
        <v>5956</v>
      </c>
      <c r="D136" s="22"/>
      <c r="E136" s="23"/>
      <c r="F136" s="24"/>
    </row>
    <row r="137" spans="2:6" ht="15" thickBot="1" x14ac:dyDescent="0.4"/>
    <row r="138" spans="2:6" ht="16" thickBot="1" x14ac:dyDescent="0.4">
      <c r="B138" s="47">
        <v>46181</v>
      </c>
      <c r="C138" s="48"/>
      <c r="D138" s="48"/>
      <c r="E138" s="48"/>
      <c r="F138" s="49"/>
    </row>
    <row r="139" spans="2:6" ht="16" thickBot="1" x14ac:dyDescent="0.4">
      <c r="B139" s="50" t="s">
        <v>0</v>
      </c>
      <c r="C139" s="51"/>
      <c r="D139" s="52"/>
      <c r="E139" s="53" t="s">
        <v>7</v>
      </c>
      <c r="F139" s="52"/>
    </row>
    <row r="140" spans="2:6" x14ac:dyDescent="0.35">
      <c r="B140" s="13" t="s">
        <v>0</v>
      </c>
      <c r="C140" s="7">
        <v>5500</v>
      </c>
      <c r="D140" s="14"/>
      <c r="E140" s="27">
        <v>46174</v>
      </c>
      <c r="F140" s="14">
        <v>263</v>
      </c>
    </row>
    <row r="141" spans="2:6" ht="15" thickBot="1" x14ac:dyDescent="0.4">
      <c r="B141" s="15" t="s">
        <v>5</v>
      </c>
      <c r="C141" s="1">
        <f>F142*12</f>
        <v>564</v>
      </c>
      <c r="D141" s="29"/>
      <c r="E141" s="27">
        <v>46204</v>
      </c>
      <c r="F141" s="14">
        <v>310</v>
      </c>
    </row>
    <row r="142" spans="2:6" ht="15" thickBot="1" x14ac:dyDescent="0.4">
      <c r="B142" s="15" t="s">
        <v>6</v>
      </c>
      <c r="C142" s="1">
        <v>70</v>
      </c>
      <c r="D142" s="29"/>
      <c r="E142" s="28"/>
      <c r="F142" s="26">
        <f>F141-F140</f>
        <v>47</v>
      </c>
    </row>
    <row r="143" spans="2:6" x14ac:dyDescent="0.35">
      <c r="B143" s="15" t="s">
        <v>21</v>
      </c>
      <c r="C143" s="1">
        <v>-700</v>
      </c>
      <c r="D143" s="29"/>
      <c r="F143" s="17"/>
    </row>
    <row r="144" spans="2:6" ht="15" thickBot="1" x14ac:dyDescent="0.4">
      <c r="B144" s="18" t="s">
        <v>3</v>
      </c>
      <c r="C144" s="3" t="s">
        <v>3</v>
      </c>
      <c r="D144" s="16"/>
      <c r="F144" s="17"/>
    </row>
    <row r="145" spans="2:8" ht="15" thickBot="1" x14ac:dyDescent="0.4">
      <c r="B145" s="21" t="s">
        <v>9</v>
      </c>
      <c r="C145" s="25">
        <f>SUM(C140:C144)</f>
        <v>5434</v>
      </c>
      <c r="D145" s="22"/>
      <c r="E145" s="23"/>
      <c r="F145" s="24"/>
    </row>
    <row r="146" spans="2:8" ht="15" thickBot="1" x14ac:dyDescent="0.4"/>
    <row r="147" spans="2:8" ht="16" thickBot="1" x14ac:dyDescent="0.4">
      <c r="B147" s="47">
        <v>46211</v>
      </c>
      <c r="C147" s="48"/>
      <c r="D147" s="48"/>
      <c r="E147" s="48"/>
      <c r="F147" s="49"/>
    </row>
    <row r="148" spans="2:8" ht="16" thickBot="1" x14ac:dyDescent="0.4">
      <c r="B148" s="50" t="s">
        <v>0</v>
      </c>
      <c r="C148" s="51"/>
      <c r="D148" s="52"/>
      <c r="E148" s="53" t="s">
        <v>7</v>
      </c>
      <c r="F148" s="52"/>
    </row>
    <row r="149" spans="2:8" x14ac:dyDescent="0.35">
      <c r="B149" s="13" t="s">
        <v>0</v>
      </c>
      <c r="C149" s="7">
        <v>5500</v>
      </c>
      <c r="D149" s="14"/>
      <c r="E149" s="27">
        <v>46204</v>
      </c>
      <c r="F149" s="14">
        <v>310</v>
      </c>
    </row>
    <row r="150" spans="2:8" ht="15" thickBot="1" x14ac:dyDescent="0.4">
      <c r="B150" s="15" t="s">
        <v>5</v>
      </c>
      <c r="C150" s="1">
        <f>F151*12</f>
        <v>480</v>
      </c>
      <c r="D150" s="29"/>
      <c r="E150" s="27">
        <v>46235</v>
      </c>
      <c r="F150" s="14">
        <v>350</v>
      </c>
    </row>
    <row r="151" spans="2:8" ht="15" thickBot="1" x14ac:dyDescent="0.4">
      <c r="B151" s="15" t="s">
        <v>6</v>
      </c>
      <c r="C151" s="1">
        <v>70</v>
      </c>
      <c r="D151" s="29"/>
      <c r="E151" s="28"/>
      <c r="F151" s="26">
        <f>F150-F149</f>
        <v>40</v>
      </c>
    </row>
    <row r="152" spans="2:8" x14ac:dyDescent="0.35">
      <c r="B152" s="15" t="s">
        <v>21</v>
      </c>
      <c r="C152" s="1">
        <v>-700</v>
      </c>
      <c r="D152" s="29"/>
      <c r="F152" s="17"/>
    </row>
    <row r="153" spans="2:8" ht="15" thickBot="1" x14ac:dyDescent="0.4">
      <c r="B153" s="18" t="s">
        <v>3</v>
      </c>
      <c r="C153" s="3" t="s">
        <v>3</v>
      </c>
      <c r="D153" s="16"/>
      <c r="F153" s="17"/>
    </row>
    <row r="154" spans="2:8" ht="15" thickBot="1" x14ac:dyDescent="0.4">
      <c r="B154" s="21" t="s">
        <v>9</v>
      </c>
      <c r="C154" s="25">
        <f>SUM(C149:C153)</f>
        <v>5350</v>
      </c>
      <c r="D154" s="22"/>
      <c r="E154" s="23"/>
      <c r="F154" s="24"/>
    </row>
    <row r="155" spans="2:8" ht="15" thickBot="1" x14ac:dyDescent="0.4"/>
    <row r="156" spans="2:8" ht="16" thickBot="1" x14ac:dyDescent="0.4">
      <c r="B156" s="47">
        <v>46242</v>
      </c>
      <c r="C156" s="48"/>
      <c r="D156" s="48"/>
      <c r="E156" s="48"/>
      <c r="F156" s="49"/>
    </row>
    <row r="157" spans="2:8" ht="16" thickBot="1" x14ac:dyDescent="0.4">
      <c r="B157" s="50" t="s">
        <v>0</v>
      </c>
      <c r="C157" s="51"/>
      <c r="D157" s="52"/>
      <c r="E157" s="53" t="s">
        <v>7</v>
      </c>
      <c r="F157" s="52"/>
    </row>
    <row r="158" spans="2:8" x14ac:dyDescent="0.35">
      <c r="B158" s="13" t="s">
        <v>0</v>
      </c>
      <c r="C158" s="7">
        <v>5500</v>
      </c>
      <c r="D158" s="14"/>
      <c r="E158" s="27">
        <v>46235</v>
      </c>
      <c r="F158" s="14">
        <v>350</v>
      </c>
    </row>
    <row r="159" spans="2:8" ht="15" thickBot="1" x14ac:dyDescent="0.4">
      <c r="B159" s="15" t="s">
        <v>5</v>
      </c>
      <c r="C159" s="1">
        <f>F160*12</f>
        <v>420</v>
      </c>
      <c r="D159" s="29"/>
      <c r="E159" s="27">
        <v>46266</v>
      </c>
      <c r="F159" s="14">
        <v>385</v>
      </c>
    </row>
    <row r="160" spans="2:8" ht="15" thickBot="1" x14ac:dyDescent="0.4">
      <c r="B160" s="15" t="s">
        <v>6</v>
      </c>
      <c r="C160" s="1">
        <v>70</v>
      </c>
      <c r="D160" s="29"/>
      <c r="E160" s="28"/>
      <c r="F160" s="26">
        <f>F159-F158</f>
        <v>35</v>
      </c>
      <c r="H160" t="s">
        <v>3</v>
      </c>
    </row>
    <row r="161" spans="2:6" x14ac:dyDescent="0.35">
      <c r="B161" s="15" t="s">
        <v>21</v>
      </c>
      <c r="C161" s="1">
        <v>-700</v>
      </c>
      <c r="D161" s="29"/>
      <c r="F161" s="17"/>
    </row>
    <row r="162" spans="2:6" ht="15" thickBot="1" x14ac:dyDescent="0.4">
      <c r="B162" s="18" t="s">
        <v>3</v>
      </c>
      <c r="C162" s="3" t="s">
        <v>3</v>
      </c>
      <c r="D162" s="16"/>
      <c r="F162" s="17"/>
    </row>
    <row r="163" spans="2:6" ht="15" thickBot="1" x14ac:dyDescent="0.4">
      <c r="B163" s="21" t="s">
        <v>9</v>
      </c>
      <c r="C163" s="25">
        <f>SUM(C158:C162)</f>
        <v>5290</v>
      </c>
      <c r="D163" s="22"/>
      <c r="E163" s="23"/>
      <c r="F163" s="24"/>
    </row>
  </sheetData>
  <mergeCells count="54">
    <mergeCell ref="B156:F156"/>
    <mergeCell ref="B157:D157"/>
    <mergeCell ref="E157:F157"/>
    <mergeCell ref="B147:F147"/>
    <mergeCell ref="B148:D148"/>
    <mergeCell ref="E148:F148"/>
    <mergeCell ref="B57:F57"/>
    <mergeCell ref="B21:F21"/>
    <mergeCell ref="B22:D22"/>
    <mergeCell ref="E22:F22"/>
    <mergeCell ref="B30:F30"/>
    <mergeCell ref="B31:D31"/>
    <mergeCell ref="E31:F31"/>
    <mergeCell ref="B39:F39"/>
    <mergeCell ref="B40:D40"/>
    <mergeCell ref="E40:F40"/>
    <mergeCell ref="B48:F48"/>
    <mergeCell ref="B49:D49"/>
    <mergeCell ref="E49:F49"/>
    <mergeCell ref="B2:F2"/>
    <mergeCell ref="B3:D3"/>
    <mergeCell ref="E3:F3"/>
    <mergeCell ref="B12:F12"/>
    <mergeCell ref="B13:D13"/>
    <mergeCell ref="E13:F13"/>
    <mergeCell ref="B58:D58"/>
    <mergeCell ref="E58:F58"/>
    <mergeCell ref="B66:F66"/>
    <mergeCell ref="B67:D67"/>
    <mergeCell ref="E67:F67"/>
    <mergeCell ref="B75:F75"/>
    <mergeCell ref="B76:D76"/>
    <mergeCell ref="E76:F76"/>
    <mergeCell ref="B84:F84"/>
    <mergeCell ref="B85:D85"/>
    <mergeCell ref="E85:F85"/>
    <mergeCell ref="B93:F93"/>
    <mergeCell ref="B94:D94"/>
    <mergeCell ref="E94:F94"/>
    <mergeCell ref="B102:F102"/>
    <mergeCell ref="B103:D103"/>
    <mergeCell ref="E103:F103"/>
    <mergeCell ref="B120:F120"/>
    <mergeCell ref="B121:D121"/>
    <mergeCell ref="E121:F121"/>
    <mergeCell ref="B111:F111"/>
    <mergeCell ref="B112:D112"/>
    <mergeCell ref="E112:F112"/>
    <mergeCell ref="B138:F138"/>
    <mergeCell ref="B139:D139"/>
    <mergeCell ref="E139:F139"/>
    <mergeCell ref="B129:F129"/>
    <mergeCell ref="B130:D130"/>
    <mergeCell ref="E130:F13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3B2EF-BB5B-46AC-9217-C094575EFA2D}">
  <dimension ref="B1:N67"/>
  <sheetViews>
    <sheetView topLeftCell="A53" zoomScale="90" zoomScaleNormal="90" workbookViewId="0">
      <selection activeCell="I63" sqref="I63"/>
    </sheetView>
  </sheetViews>
  <sheetFormatPr defaultRowHeight="14.5" x14ac:dyDescent="0.35"/>
  <cols>
    <col min="2" max="2" width="19.7265625" bestFit="1" customWidth="1"/>
    <col min="3" max="3" width="10.26953125" customWidth="1"/>
    <col min="5" max="5" width="12.26953125" customWidth="1"/>
    <col min="6" max="6" width="9.26953125" customWidth="1"/>
    <col min="7" max="7" width="5.7265625" customWidth="1"/>
    <col min="8" max="8" width="9.54296875" bestFit="1" customWidth="1"/>
    <col min="9" max="9" width="17.81640625" customWidth="1"/>
    <col min="10" max="10" width="9.54296875" bestFit="1" customWidth="1"/>
  </cols>
  <sheetData>
    <row r="1" spans="2:14" ht="15" thickBot="1" x14ac:dyDescent="0.4"/>
    <row r="2" spans="2:14" ht="16" thickBot="1" x14ac:dyDescent="0.4">
      <c r="B2" s="47">
        <v>46089</v>
      </c>
      <c r="C2" s="48"/>
      <c r="D2" s="48"/>
      <c r="E2" s="48"/>
      <c r="F2" s="49"/>
    </row>
    <row r="3" spans="2:14" ht="17" customHeight="1" thickBot="1" x14ac:dyDescent="0.4">
      <c r="B3" s="50" t="s">
        <v>0</v>
      </c>
      <c r="C3" s="51"/>
      <c r="D3" s="52"/>
      <c r="E3" s="53" t="s">
        <v>7</v>
      </c>
      <c r="F3" s="52"/>
      <c r="H3" s="40" t="s">
        <v>20</v>
      </c>
      <c r="I3" s="40" t="s">
        <v>19</v>
      </c>
    </row>
    <row r="4" spans="2:14" x14ac:dyDescent="0.35">
      <c r="B4" s="13" t="s">
        <v>0</v>
      </c>
      <c r="C4" s="7">
        <f>6200/2</f>
        <v>3100</v>
      </c>
      <c r="D4" s="14"/>
      <c r="E4" s="27">
        <v>46096</v>
      </c>
      <c r="F4" s="14">
        <v>5056</v>
      </c>
      <c r="H4" s="41">
        <v>46095</v>
      </c>
      <c r="I4">
        <v>10000</v>
      </c>
    </row>
    <row r="5" spans="2:14" ht="15" thickBot="1" x14ac:dyDescent="0.4">
      <c r="B5" s="15" t="s">
        <v>5</v>
      </c>
      <c r="C5" s="1">
        <f>F6*12</f>
        <v>408</v>
      </c>
      <c r="D5" s="29"/>
      <c r="E5" s="27">
        <v>46113</v>
      </c>
      <c r="F5" s="14">
        <v>5090</v>
      </c>
    </row>
    <row r="6" spans="2:14" ht="15" thickBot="1" x14ac:dyDescent="0.4">
      <c r="B6" s="15" t="s">
        <v>6</v>
      </c>
      <c r="C6" s="1">
        <f>60/2</f>
        <v>30</v>
      </c>
      <c r="D6" s="29"/>
      <c r="E6" s="28"/>
      <c r="F6" s="26">
        <f>F5-F4</f>
        <v>34</v>
      </c>
    </row>
    <row r="7" spans="2:14" x14ac:dyDescent="0.35">
      <c r="B7" s="15" t="s">
        <v>16</v>
      </c>
      <c r="C7" s="1">
        <f>100/2</f>
        <v>50</v>
      </c>
      <c r="D7" s="29"/>
      <c r="F7" s="17"/>
    </row>
    <row r="8" spans="2:14" ht="15" thickBot="1" x14ac:dyDescent="0.4">
      <c r="B8" s="18" t="s">
        <v>3</v>
      </c>
      <c r="C8" s="3" t="s">
        <v>3</v>
      </c>
      <c r="D8" s="16"/>
      <c r="F8" s="17"/>
    </row>
    <row r="9" spans="2:14" ht="15" thickBot="1" x14ac:dyDescent="0.4">
      <c r="B9" s="21" t="s">
        <v>9</v>
      </c>
      <c r="C9" s="25">
        <f>SUM(C4:C8)</f>
        <v>3588</v>
      </c>
      <c r="D9" s="22"/>
      <c r="E9" s="23"/>
      <c r="F9" s="24"/>
    </row>
    <row r="10" spans="2:14" ht="16" thickBot="1" x14ac:dyDescent="0.4">
      <c r="B10" s="42" t="s">
        <v>2</v>
      </c>
      <c r="C10">
        <v>5000</v>
      </c>
    </row>
    <row r="11" spans="2:14" ht="15" thickBot="1" x14ac:dyDescent="0.4">
      <c r="B11" s="43" t="s">
        <v>18</v>
      </c>
      <c r="C11" s="26">
        <f>C10+C9</f>
        <v>8588</v>
      </c>
      <c r="K11" t="s">
        <v>3</v>
      </c>
    </row>
    <row r="13" spans="2:14" ht="15" thickBot="1" x14ac:dyDescent="0.4"/>
    <row r="14" spans="2:14" ht="16" thickBot="1" x14ac:dyDescent="0.4">
      <c r="B14" s="47">
        <v>46120</v>
      </c>
      <c r="C14" s="48"/>
      <c r="D14" s="48"/>
      <c r="E14" s="48"/>
      <c r="F14" s="49"/>
    </row>
    <row r="15" spans="2:14" ht="19.5" customHeight="1" thickBot="1" x14ac:dyDescent="0.4">
      <c r="B15" s="50" t="s">
        <v>0</v>
      </c>
      <c r="C15" s="51"/>
      <c r="D15" s="52"/>
      <c r="E15" s="53" t="s">
        <v>7</v>
      </c>
      <c r="F15" s="52"/>
      <c r="H15" s="44" t="s">
        <v>20</v>
      </c>
      <c r="I15" s="44" t="s">
        <v>19</v>
      </c>
      <c r="N15" t="s">
        <v>10</v>
      </c>
    </row>
    <row r="16" spans="2:14" x14ac:dyDescent="0.35">
      <c r="B16" s="13" t="s">
        <v>0</v>
      </c>
      <c r="C16" s="7">
        <v>6200</v>
      </c>
      <c r="D16" s="14"/>
      <c r="E16" s="27">
        <v>46113</v>
      </c>
      <c r="F16" s="14">
        <v>5090</v>
      </c>
      <c r="H16" s="45">
        <v>46095</v>
      </c>
      <c r="I16" s="1">
        <v>10000</v>
      </c>
    </row>
    <row r="17" spans="2:9" ht="15" thickBot="1" x14ac:dyDescent="0.4">
      <c r="B17" s="15" t="s">
        <v>5</v>
      </c>
      <c r="C17" s="1">
        <f>F18*12</f>
        <v>780</v>
      </c>
      <c r="D17" s="29"/>
      <c r="E17" s="27">
        <v>46143</v>
      </c>
      <c r="F17" s="14">
        <v>5155</v>
      </c>
      <c r="H17" s="45">
        <v>46126</v>
      </c>
      <c r="I17" s="1">
        <v>5000</v>
      </c>
    </row>
    <row r="18" spans="2:9" ht="15" thickBot="1" x14ac:dyDescent="0.4">
      <c r="B18" s="15" t="s">
        <v>6</v>
      </c>
      <c r="C18" s="1">
        <v>60</v>
      </c>
      <c r="D18" s="29"/>
      <c r="E18" s="28"/>
      <c r="F18" s="26">
        <f>F17-F16</f>
        <v>65</v>
      </c>
    </row>
    <row r="19" spans="2:9" x14ac:dyDescent="0.35">
      <c r="B19" s="15" t="s">
        <v>16</v>
      </c>
      <c r="C19" s="1">
        <v>100</v>
      </c>
      <c r="D19" s="29"/>
      <c r="F19" s="17"/>
    </row>
    <row r="20" spans="2:9" ht="15" thickBot="1" x14ac:dyDescent="0.4">
      <c r="B20" s="18" t="s">
        <v>3</v>
      </c>
      <c r="C20" s="3" t="s">
        <v>3</v>
      </c>
      <c r="D20" s="16"/>
      <c r="F20" s="17"/>
      <c r="H20" t="s">
        <v>3</v>
      </c>
    </row>
    <row r="21" spans="2:9" ht="19" customHeight="1" thickBot="1" x14ac:dyDescent="0.4">
      <c r="B21" s="21" t="s">
        <v>9</v>
      </c>
      <c r="C21" s="25">
        <f>SUM(C16:C20)</f>
        <v>7140</v>
      </c>
      <c r="D21" s="22"/>
      <c r="E21" s="23"/>
      <c r="F21" s="24"/>
    </row>
    <row r="22" spans="2:9" ht="27" customHeight="1" thickBot="1" x14ac:dyDescent="0.4">
      <c r="C22" t="s">
        <v>3</v>
      </c>
      <c r="D22" t="s">
        <v>3</v>
      </c>
    </row>
    <row r="23" spans="2:9" ht="16" thickBot="1" x14ac:dyDescent="0.4">
      <c r="B23" s="47">
        <v>46150</v>
      </c>
      <c r="C23" s="48"/>
      <c r="D23" s="48"/>
      <c r="E23" s="48"/>
      <c r="F23" s="49"/>
    </row>
    <row r="24" spans="2:9" ht="16" thickBot="1" x14ac:dyDescent="0.4">
      <c r="B24" s="50" t="s">
        <v>0</v>
      </c>
      <c r="C24" s="51"/>
      <c r="D24" s="52"/>
      <c r="E24" s="53" t="s">
        <v>7</v>
      </c>
      <c r="F24" s="52"/>
      <c r="H24" s="44" t="s">
        <v>20</v>
      </c>
      <c r="I24" s="44" t="s">
        <v>19</v>
      </c>
    </row>
    <row r="25" spans="2:9" x14ac:dyDescent="0.35">
      <c r="B25" s="13" t="s">
        <v>0</v>
      </c>
      <c r="C25" s="7">
        <v>6200</v>
      </c>
      <c r="D25" s="14"/>
      <c r="E25" s="27">
        <v>46143</v>
      </c>
      <c r="F25" s="14">
        <v>5155</v>
      </c>
      <c r="H25" s="45">
        <v>46095</v>
      </c>
      <c r="I25" s="1">
        <v>10000</v>
      </c>
    </row>
    <row r="26" spans="2:9" ht="15" thickBot="1" x14ac:dyDescent="0.4">
      <c r="B26" s="15" t="s">
        <v>5</v>
      </c>
      <c r="C26" s="1">
        <f>F27*12</f>
        <v>792</v>
      </c>
      <c r="D26" s="29"/>
      <c r="E26" s="27">
        <v>46174</v>
      </c>
      <c r="F26" s="14">
        <v>5221</v>
      </c>
      <c r="H26" s="45">
        <v>46126</v>
      </c>
      <c r="I26" s="1">
        <v>5000</v>
      </c>
    </row>
    <row r="27" spans="2:9" ht="15" thickBot="1" x14ac:dyDescent="0.4">
      <c r="B27" s="15" t="s">
        <v>6</v>
      </c>
      <c r="C27" s="1">
        <v>60</v>
      </c>
      <c r="D27" s="29"/>
      <c r="E27" s="28"/>
      <c r="F27" s="26">
        <f>F26-F25</f>
        <v>66</v>
      </c>
    </row>
    <row r="28" spans="2:9" x14ac:dyDescent="0.35">
      <c r="B28" s="15" t="s">
        <v>16</v>
      </c>
      <c r="C28" s="1">
        <v>100</v>
      </c>
      <c r="D28" s="29"/>
      <c r="F28" s="17"/>
    </row>
    <row r="29" spans="2:9" ht="15" thickBot="1" x14ac:dyDescent="0.4">
      <c r="B29" s="18" t="s">
        <v>3</v>
      </c>
      <c r="C29" s="3" t="s">
        <v>3</v>
      </c>
      <c r="D29" s="16"/>
      <c r="F29" s="17"/>
      <c r="H29" t="s">
        <v>3</v>
      </c>
    </row>
    <row r="30" spans="2:9" ht="15" thickBot="1" x14ac:dyDescent="0.4">
      <c r="B30" s="21" t="s">
        <v>9</v>
      </c>
      <c r="C30" s="25">
        <f>SUM(C25:C29)</f>
        <v>7152</v>
      </c>
      <c r="D30" s="22"/>
      <c r="E30" s="23"/>
      <c r="F30" s="24"/>
    </row>
    <row r="32" spans="2:9" ht="15" thickBot="1" x14ac:dyDescent="0.4"/>
    <row r="33" spans="2:9" ht="16" thickBot="1" x14ac:dyDescent="0.4">
      <c r="B33" s="47">
        <v>46181</v>
      </c>
      <c r="C33" s="48"/>
      <c r="D33" s="48"/>
      <c r="E33" s="48"/>
      <c r="F33" s="49"/>
    </row>
    <row r="34" spans="2:9" ht="16" thickBot="1" x14ac:dyDescent="0.4">
      <c r="B34" s="50" t="s">
        <v>0</v>
      </c>
      <c r="C34" s="51"/>
      <c r="D34" s="52"/>
      <c r="E34" s="53" t="s">
        <v>7</v>
      </c>
      <c r="F34" s="52"/>
      <c r="H34" s="44" t="s">
        <v>20</v>
      </c>
      <c r="I34" s="44" t="s">
        <v>19</v>
      </c>
    </row>
    <row r="35" spans="2:9" x14ac:dyDescent="0.35">
      <c r="B35" s="13" t="s">
        <v>0</v>
      </c>
      <c r="C35" s="7">
        <v>6200</v>
      </c>
      <c r="D35" s="14"/>
      <c r="E35" s="27">
        <v>46174</v>
      </c>
      <c r="F35" s="14">
        <v>5221</v>
      </c>
      <c r="H35" s="45">
        <v>46095</v>
      </c>
      <c r="I35" s="1">
        <v>10000</v>
      </c>
    </row>
    <row r="36" spans="2:9" ht="15" thickBot="1" x14ac:dyDescent="0.4">
      <c r="B36" s="15" t="s">
        <v>5</v>
      </c>
      <c r="C36" s="1">
        <f>F37*12</f>
        <v>744</v>
      </c>
      <c r="D36" s="29"/>
      <c r="E36" s="27">
        <v>46204</v>
      </c>
      <c r="F36" s="14">
        <v>5283</v>
      </c>
      <c r="H36" s="45">
        <v>46126</v>
      </c>
      <c r="I36" s="1">
        <v>5000</v>
      </c>
    </row>
    <row r="37" spans="2:9" ht="15" thickBot="1" x14ac:dyDescent="0.4">
      <c r="B37" s="15" t="s">
        <v>6</v>
      </c>
      <c r="C37" s="1">
        <v>60</v>
      </c>
      <c r="D37" s="29"/>
      <c r="E37" s="28"/>
      <c r="F37" s="26">
        <f>F36-F35</f>
        <v>62</v>
      </c>
    </row>
    <row r="38" spans="2:9" x14ac:dyDescent="0.35">
      <c r="B38" s="15" t="s">
        <v>16</v>
      </c>
      <c r="C38" s="1">
        <v>100</v>
      </c>
      <c r="D38" s="29"/>
      <c r="F38" s="17"/>
    </row>
    <row r="39" spans="2:9" ht="15" thickBot="1" x14ac:dyDescent="0.4">
      <c r="B39" s="18" t="s">
        <v>3</v>
      </c>
      <c r="C39" s="3" t="s">
        <v>3</v>
      </c>
      <c r="D39" s="16"/>
      <c r="F39" s="17"/>
      <c r="H39" t="s">
        <v>3</v>
      </c>
    </row>
    <row r="40" spans="2:9" ht="15" thickBot="1" x14ac:dyDescent="0.4">
      <c r="B40" s="21" t="s">
        <v>9</v>
      </c>
      <c r="C40" s="25">
        <f>SUM(C35:C39)</f>
        <v>7104</v>
      </c>
      <c r="D40" s="22"/>
      <c r="E40" s="23"/>
      <c r="F40" s="24"/>
    </row>
    <row r="41" spans="2:9" ht="15" thickBot="1" x14ac:dyDescent="0.4"/>
    <row r="42" spans="2:9" ht="16" thickBot="1" x14ac:dyDescent="0.4">
      <c r="B42" s="47">
        <v>46181</v>
      </c>
      <c r="C42" s="48"/>
      <c r="D42" s="48"/>
      <c r="E42" s="48"/>
      <c r="F42" s="49"/>
    </row>
    <row r="43" spans="2:9" ht="16" thickBot="1" x14ac:dyDescent="0.4">
      <c r="B43" s="50" t="s">
        <v>0</v>
      </c>
      <c r="C43" s="51"/>
      <c r="D43" s="52"/>
      <c r="E43" s="53" t="s">
        <v>7</v>
      </c>
      <c r="F43" s="52"/>
      <c r="H43" s="44" t="s">
        <v>20</v>
      </c>
      <c r="I43" s="44" t="s">
        <v>19</v>
      </c>
    </row>
    <row r="44" spans="2:9" x14ac:dyDescent="0.35">
      <c r="B44" s="13" t="s">
        <v>0</v>
      </c>
      <c r="C44" s="7">
        <v>6200</v>
      </c>
      <c r="D44" s="14"/>
      <c r="E44" s="27">
        <v>46174</v>
      </c>
      <c r="F44" s="14">
        <v>5221</v>
      </c>
      <c r="H44" s="45">
        <v>46095</v>
      </c>
      <c r="I44" s="1">
        <v>10000</v>
      </c>
    </row>
    <row r="45" spans="2:9" ht="15" thickBot="1" x14ac:dyDescent="0.4">
      <c r="B45" s="15" t="s">
        <v>5</v>
      </c>
      <c r="C45" s="1">
        <f>F46*12</f>
        <v>744</v>
      </c>
      <c r="D45" s="29"/>
      <c r="E45" s="27">
        <v>46204</v>
      </c>
      <c r="F45" s="14">
        <v>5283</v>
      </c>
      <c r="H45" s="45">
        <v>46126</v>
      </c>
      <c r="I45" s="1">
        <v>5000</v>
      </c>
    </row>
    <row r="46" spans="2:9" ht="15" thickBot="1" x14ac:dyDescent="0.4">
      <c r="B46" s="15" t="s">
        <v>6</v>
      </c>
      <c r="C46" s="1">
        <v>60</v>
      </c>
      <c r="D46" s="29"/>
      <c r="E46" s="28"/>
      <c r="F46" s="26">
        <f>F45-F44</f>
        <v>62</v>
      </c>
    </row>
    <row r="47" spans="2:9" x14ac:dyDescent="0.35">
      <c r="B47" s="15" t="s">
        <v>16</v>
      </c>
      <c r="C47" s="1">
        <v>100</v>
      </c>
      <c r="D47" s="29"/>
      <c r="F47" s="17"/>
    </row>
    <row r="48" spans="2:9" ht="15" thickBot="1" x14ac:dyDescent="0.4">
      <c r="B48" s="18" t="s">
        <v>3</v>
      </c>
      <c r="C48" s="3" t="s">
        <v>3</v>
      </c>
      <c r="D48" s="16"/>
      <c r="F48" s="17"/>
      <c r="H48" t="s">
        <v>3</v>
      </c>
    </row>
    <row r="49" spans="2:9" ht="15" thickBot="1" x14ac:dyDescent="0.4">
      <c r="B49" s="21" t="s">
        <v>9</v>
      </c>
      <c r="C49" s="25">
        <f>SUM(C44:C48)</f>
        <v>7104</v>
      </c>
      <c r="D49" s="22"/>
      <c r="E49" s="23"/>
      <c r="F49" s="24"/>
    </row>
    <row r="50" spans="2:9" ht="15" thickBot="1" x14ac:dyDescent="0.4"/>
    <row r="51" spans="2:9" ht="16" thickBot="1" x14ac:dyDescent="0.4">
      <c r="B51" s="47">
        <v>46211</v>
      </c>
      <c r="C51" s="48"/>
      <c r="D51" s="48"/>
      <c r="E51" s="48"/>
      <c r="F51" s="49"/>
    </row>
    <row r="52" spans="2:9" ht="16" thickBot="1" x14ac:dyDescent="0.4">
      <c r="B52" s="50" t="s">
        <v>0</v>
      </c>
      <c r="C52" s="51"/>
      <c r="D52" s="52"/>
      <c r="E52" s="53" t="s">
        <v>7</v>
      </c>
      <c r="F52" s="52"/>
      <c r="H52" s="44" t="s">
        <v>20</v>
      </c>
      <c r="I52" s="44" t="s">
        <v>19</v>
      </c>
    </row>
    <row r="53" spans="2:9" x14ac:dyDescent="0.35">
      <c r="B53" s="13" t="s">
        <v>0</v>
      </c>
      <c r="C53" s="7">
        <v>6200</v>
      </c>
      <c r="D53" s="14"/>
      <c r="E53" s="27">
        <v>46174</v>
      </c>
      <c r="F53" s="14">
        <v>5283</v>
      </c>
      <c r="H53" s="45">
        <v>46095</v>
      </c>
      <c r="I53" s="1">
        <v>10000</v>
      </c>
    </row>
    <row r="54" spans="2:9" ht="15" thickBot="1" x14ac:dyDescent="0.4">
      <c r="B54" s="15" t="s">
        <v>5</v>
      </c>
      <c r="C54" s="1">
        <f>F55*12</f>
        <v>924</v>
      </c>
      <c r="D54" s="29"/>
      <c r="E54" s="27">
        <v>46204</v>
      </c>
      <c r="F54" s="14">
        <v>5360</v>
      </c>
      <c r="H54" s="45">
        <v>46126</v>
      </c>
      <c r="I54" s="1">
        <v>5000</v>
      </c>
    </row>
    <row r="55" spans="2:9" ht="15" thickBot="1" x14ac:dyDescent="0.4">
      <c r="B55" s="15" t="s">
        <v>6</v>
      </c>
      <c r="C55" s="1">
        <v>60</v>
      </c>
      <c r="D55" s="29"/>
      <c r="E55" s="28"/>
      <c r="F55" s="26">
        <f>F54-F53</f>
        <v>77</v>
      </c>
    </row>
    <row r="56" spans="2:9" x14ac:dyDescent="0.35">
      <c r="B56" s="15" t="s">
        <v>16</v>
      </c>
      <c r="C56" s="1">
        <v>100</v>
      </c>
      <c r="D56" s="29"/>
      <c r="F56" s="17"/>
    </row>
    <row r="57" spans="2:9" ht="15" thickBot="1" x14ac:dyDescent="0.4">
      <c r="B57" s="18" t="s">
        <v>3</v>
      </c>
      <c r="C57" s="3" t="s">
        <v>3</v>
      </c>
      <c r="D57" s="16"/>
      <c r="F57" s="17"/>
      <c r="H57" t="s">
        <v>3</v>
      </c>
    </row>
    <row r="58" spans="2:9" ht="15" thickBot="1" x14ac:dyDescent="0.4">
      <c r="B58" s="21" t="s">
        <v>9</v>
      </c>
      <c r="C58" s="25">
        <f>SUM(C53:C57)</f>
        <v>7284</v>
      </c>
      <c r="D58" s="22"/>
      <c r="E58" s="23"/>
      <c r="F58" s="24"/>
    </row>
    <row r="59" spans="2:9" ht="15" thickBot="1" x14ac:dyDescent="0.4"/>
    <row r="60" spans="2:9" ht="16" thickBot="1" x14ac:dyDescent="0.4">
      <c r="B60" s="47">
        <v>46242</v>
      </c>
      <c r="C60" s="48"/>
      <c r="D60" s="48"/>
      <c r="E60" s="48"/>
      <c r="F60" s="49"/>
    </row>
    <row r="61" spans="2:9" ht="16" thickBot="1" x14ac:dyDescent="0.4">
      <c r="B61" s="50" t="s">
        <v>0</v>
      </c>
      <c r="C61" s="51"/>
      <c r="D61" s="52"/>
      <c r="E61" s="53" t="s">
        <v>7</v>
      </c>
      <c r="F61" s="52"/>
      <c r="H61" s="44" t="s">
        <v>20</v>
      </c>
      <c r="I61" s="44" t="s">
        <v>19</v>
      </c>
    </row>
    <row r="62" spans="2:9" x14ac:dyDescent="0.35">
      <c r="B62" s="13" t="s">
        <v>0</v>
      </c>
      <c r="C62" s="7">
        <v>6200</v>
      </c>
      <c r="D62" s="14"/>
      <c r="E62" s="27">
        <v>46235</v>
      </c>
      <c r="F62" s="14">
        <v>5360</v>
      </c>
      <c r="H62" s="45">
        <v>46095</v>
      </c>
      <c r="I62" s="1">
        <v>10000</v>
      </c>
    </row>
    <row r="63" spans="2:9" ht="15" thickBot="1" x14ac:dyDescent="0.4">
      <c r="B63" s="15" t="s">
        <v>5</v>
      </c>
      <c r="C63" s="1">
        <f>F64*12</f>
        <v>828</v>
      </c>
      <c r="D63" s="29"/>
      <c r="E63" s="27">
        <v>46266</v>
      </c>
      <c r="F63" s="14">
        <v>5429</v>
      </c>
      <c r="H63" s="45">
        <v>46126</v>
      </c>
      <c r="I63" s="1">
        <v>5000</v>
      </c>
    </row>
    <row r="64" spans="2:9" ht="15" thickBot="1" x14ac:dyDescent="0.4">
      <c r="B64" s="15" t="s">
        <v>6</v>
      </c>
      <c r="C64" s="1">
        <v>60</v>
      </c>
      <c r="D64" s="29"/>
      <c r="E64" s="28"/>
      <c r="F64" s="26">
        <f>F63-F62</f>
        <v>69</v>
      </c>
    </row>
    <row r="65" spans="2:8" x14ac:dyDescent="0.35">
      <c r="B65" s="15" t="s">
        <v>16</v>
      </c>
      <c r="C65" s="1">
        <v>100</v>
      </c>
      <c r="D65" s="29"/>
      <c r="F65" s="17"/>
    </row>
    <row r="66" spans="2:8" ht="15" thickBot="1" x14ac:dyDescent="0.4">
      <c r="B66" s="18" t="s">
        <v>3</v>
      </c>
      <c r="C66" s="3" t="s">
        <v>3</v>
      </c>
      <c r="D66" s="16"/>
      <c r="F66" s="17"/>
      <c r="H66" t="s">
        <v>3</v>
      </c>
    </row>
    <row r="67" spans="2:8" ht="15" thickBot="1" x14ac:dyDescent="0.4">
      <c r="B67" s="21" t="s">
        <v>9</v>
      </c>
      <c r="C67" s="25">
        <f>SUM(C62:C66)</f>
        <v>7188</v>
      </c>
      <c r="D67" s="22"/>
      <c r="E67" s="23"/>
      <c r="F67" s="24"/>
    </row>
  </sheetData>
  <mergeCells count="21">
    <mergeCell ref="B60:F60"/>
    <mergeCell ref="B61:D61"/>
    <mergeCell ref="E61:F61"/>
    <mergeCell ref="B23:F23"/>
    <mergeCell ref="B24:D24"/>
    <mergeCell ref="E24:F24"/>
    <mergeCell ref="B51:F51"/>
    <mergeCell ref="B52:D52"/>
    <mergeCell ref="E52:F52"/>
    <mergeCell ref="B33:F33"/>
    <mergeCell ref="B34:D34"/>
    <mergeCell ref="E34:F34"/>
    <mergeCell ref="B42:F42"/>
    <mergeCell ref="B43:D43"/>
    <mergeCell ref="E43:F43"/>
    <mergeCell ref="B2:F2"/>
    <mergeCell ref="B3:D3"/>
    <mergeCell ref="E3:F3"/>
    <mergeCell ref="B14:F14"/>
    <mergeCell ref="B15:D15"/>
    <mergeCell ref="E15:F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263BF-0C1A-41AC-987C-F1DD96154C01}">
  <dimension ref="B1:I173"/>
  <sheetViews>
    <sheetView tabSelected="1" topLeftCell="A157" workbookViewId="0">
      <selection activeCell="H167" sqref="H167"/>
    </sheetView>
  </sheetViews>
  <sheetFormatPr defaultRowHeight="14.5" x14ac:dyDescent="0.35"/>
  <cols>
    <col min="2" max="2" width="19.7265625" bestFit="1" customWidth="1"/>
    <col min="3" max="3" width="10.26953125" customWidth="1"/>
    <col min="4" max="4" width="10.81640625" bestFit="1" customWidth="1"/>
    <col min="5" max="5" width="14.08984375" bestFit="1" customWidth="1"/>
    <col min="6" max="6" width="11.54296875" customWidth="1"/>
  </cols>
  <sheetData>
    <row r="1" spans="2:6" ht="15" thickBot="1" x14ac:dyDescent="0.4"/>
    <row r="2" spans="2:6" ht="15" thickBot="1" x14ac:dyDescent="0.4">
      <c r="B2" s="54">
        <v>45717</v>
      </c>
      <c r="C2" s="55"/>
      <c r="D2" s="55"/>
      <c r="E2" s="55"/>
      <c r="F2" s="56"/>
    </row>
    <row r="3" spans="2:6" ht="17" customHeight="1" thickBot="1" x14ac:dyDescent="0.4">
      <c r="B3" s="57" t="s">
        <v>0</v>
      </c>
      <c r="C3" s="58"/>
      <c r="D3" s="58"/>
      <c r="E3" s="58" t="s">
        <v>7</v>
      </c>
      <c r="F3" s="59"/>
    </row>
    <row r="4" spans="2:6" x14ac:dyDescent="0.35">
      <c r="B4" s="13" t="s">
        <v>0</v>
      </c>
      <c r="C4" s="7">
        <v>5500</v>
      </c>
      <c r="D4" s="7"/>
      <c r="E4" s="8">
        <v>45755</v>
      </c>
      <c r="F4" s="14">
        <v>3187</v>
      </c>
    </row>
    <row r="5" spans="2:6" ht="15" thickBot="1" x14ac:dyDescent="0.4">
      <c r="B5" s="15" t="s">
        <v>5</v>
      </c>
      <c r="C5" s="1">
        <f>F6*12</f>
        <v>480</v>
      </c>
      <c r="D5" s="1"/>
      <c r="E5" s="10">
        <v>45724</v>
      </c>
      <c r="F5" s="16">
        <v>3147</v>
      </c>
    </row>
    <row r="6" spans="2:6" ht="15" thickBot="1" x14ac:dyDescent="0.4">
      <c r="B6" s="15" t="s">
        <v>6</v>
      </c>
      <c r="C6" s="1">
        <v>60</v>
      </c>
      <c r="D6" s="9"/>
      <c r="E6" s="11"/>
      <c r="F6" s="12">
        <f>F4-F5</f>
        <v>40</v>
      </c>
    </row>
    <row r="7" spans="2:6" x14ac:dyDescent="0.35">
      <c r="B7" s="15" t="s">
        <v>8</v>
      </c>
      <c r="C7" s="1">
        <v>140</v>
      </c>
      <c r="D7" s="1"/>
      <c r="F7" s="17"/>
    </row>
    <row r="8" spans="2:6" ht="15" thickBot="1" x14ac:dyDescent="0.4">
      <c r="B8" s="18"/>
      <c r="C8" s="3"/>
      <c r="D8" s="3"/>
      <c r="F8" s="17"/>
    </row>
    <row r="9" spans="2:6" ht="15" thickBot="1" x14ac:dyDescent="0.4">
      <c r="B9" s="4" t="s">
        <v>4</v>
      </c>
      <c r="C9" s="5">
        <f>SUM(C4:C8)</f>
        <v>6180</v>
      </c>
      <c r="D9" s="6"/>
      <c r="E9" s="19"/>
      <c r="F9" s="20"/>
    </row>
    <row r="11" spans="2:6" ht="15" thickBot="1" x14ac:dyDescent="0.4"/>
    <row r="12" spans="2:6" ht="16" thickBot="1" x14ac:dyDescent="0.4">
      <c r="B12" s="60">
        <v>45748</v>
      </c>
      <c r="C12" s="61"/>
      <c r="D12" s="61"/>
      <c r="E12" s="61"/>
      <c r="F12" s="62"/>
    </row>
    <row r="13" spans="2:6" ht="19.5" customHeight="1" thickBot="1" x14ac:dyDescent="0.4">
      <c r="B13" s="50" t="s">
        <v>0</v>
      </c>
      <c r="C13" s="51"/>
      <c r="D13" s="52"/>
      <c r="E13" s="53" t="s">
        <v>7</v>
      </c>
      <c r="F13" s="52"/>
    </row>
    <row r="14" spans="2:6" x14ac:dyDescent="0.35">
      <c r="B14" s="13" t="s">
        <v>0</v>
      </c>
      <c r="C14" s="7">
        <v>5500</v>
      </c>
      <c r="D14" s="14"/>
      <c r="E14" s="27">
        <v>45785</v>
      </c>
      <c r="F14" s="14">
        <v>3258</v>
      </c>
    </row>
    <row r="15" spans="2:6" ht="15" thickBot="1" x14ac:dyDescent="0.4">
      <c r="B15" s="15" t="s">
        <v>5</v>
      </c>
      <c r="C15" s="1">
        <f>F16*12</f>
        <v>852</v>
      </c>
      <c r="D15" s="29"/>
      <c r="E15" s="27">
        <v>45755</v>
      </c>
      <c r="F15" s="14">
        <v>3187</v>
      </c>
    </row>
    <row r="16" spans="2:6" ht="15" thickBot="1" x14ac:dyDescent="0.4">
      <c r="B16" s="15" t="s">
        <v>6</v>
      </c>
      <c r="C16" s="1">
        <v>60</v>
      </c>
      <c r="D16" s="29"/>
      <c r="E16" s="28"/>
      <c r="F16" s="26">
        <f>F14-F15</f>
        <v>71</v>
      </c>
    </row>
    <row r="17" spans="2:7" x14ac:dyDescent="0.35">
      <c r="B17" s="15" t="s">
        <v>3</v>
      </c>
      <c r="C17" s="1" t="s">
        <v>3</v>
      </c>
      <c r="D17" s="29"/>
      <c r="F17" s="17"/>
    </row>
    <row r="18" spans="2:7" ht="15" thickBot="1" x14ac:dyDescent="0.4">
      <c r="B18" s="18"/>
      <c r="C18" s="3"/>
      <c r="D18" s="16"/>
      <c r="F18" s="17"/>
      <c r="G18" t="s">
        <v>3</v>
      </c>
    </row>
    <row r="19" spans="2:7" ht="19" customHeight="1" thickBot="1" x14ac:dyDescent="0.4">
      <c r="B19" s="21" t="s">
        <v>9</v>
      </c>
      <c r="C19" s="25">
        <f>SUM(C14:C18)</f>
        <v>6412</v>
      </c>
      <c r="D19" s="22"/>
      <c r="E19" s="23"/>
      <c r="F19" s="24"/>
    </row>
    <row r="20" spans="2:7" ht="15" thickBot="1" x14ac:dyDescent="0.4">
      <c r="C20" t="s">
        <v>3</v>
      </c>
      <c r="D20" t="s">
        <v>3</v>
      </c>
    </row>
    <row r="21" spans="2:7" ht="16" thickBot="1" x14ac:dyDescent="0.4">
      <c r="B21" s="47">
        <v>45778</v>
      </c>
      <c r="C21" s="48"/>
      <c r="D21" s="48"/>
      <c r="E21" s="48"/>
      <c r="F21" s="49"/>
    </row>
    <row r="22" spans="2:7" ht="16" thickBot="1" x14ac:dyDescent="0.4">
      <c r="B22" s="50" t="s">
        <v>0</v>
      </c>
      <c r="C22" s="51"/>
      <c r="D22" s="52"/>
      <c r="E22" s="53" t="s">
        <v>7</v>
      </c>
      <c r="F22" s="52"/>
    </row>
    <row r="23" spans="2:7" x14ac:dyDescent="0.35">
      <c r="B23" s="13" t="s">
        <v>0</v>
      </c>
      <c r="C23" s="7">
        <v>5500</v>
      </c>
      <c r="D23" s="14"/>
      <c r="E23" s="27">
        <v>45785</v>
      </c>
      <c r="F23" s="14">
        <v>3324</v>
      </c>
    </row>
    <row r="24" spans="2:7" ht="15" thickBot="1" x14ac:dyDescent="0.4">
      <c r="B24" s="15" t="s">
        <v>5</v>
      </c>
      <c r="C24" s="1">
        <f>F25*12</f>
        <v>792</v>
      </c>
      <c r="D24" s="29"/>
      <c r="E24" s="27">
        <v>45755</v>
      </c>
      <c r="F24" s="14">
        <v>3258</v>
      </c>
    </row>
    <row r="25" spans="2:7" ht="15" thickBot="1" x14ac:dyDescent="0.4">
      <c r="B25" s="15" t="s">
        <v>6</v>
      </c>
      <c r="C25" s="1">
        <v>60</v>
      </c>
      <c r="D25" s="29"/>
      <c r="E25" s="28"/>
      <c r="F25" s="26">
        <f>F23-F24</f>
        <v>66</v>
      </c>
    </row>
    <row r="26" spans="2:7" x14ac:dyDescent="0.35">
      <c r="B26" s="15" t="s">
        <v>3</v>
      </c>
      <c r="C26" s="1" t="s">
        <v>3</v>
      </c>
      <c r="D26" s="29"/>
      <c r="F26" s="17"/>
    </row>
    <row r="27" spans="2:7" ht="15" thickBot="1" x14ac:dyDescent="0.4">
      <c r="B27" s="18"/>
      <c r="C27" s="3"/>
      <c r="D27" s="16"/>
      <c r="F27" s="17"/>
    </row>
    <row r="28" spans="2:7" ht="15" thickBot="1" x14ac:dyDescent="0.4">
      <c r="B28" s="21" t="s">
        <v>9</v>
      </c>
      <c r="C28" s="25">
        <f>SUM(C23:C27)</f>
        <v>6352</v>
      </c>
      <c r="D28" s="22"/>
      <c r="E28" s="23"/>
      <c r="F28" s="24"/>
    </row>
    <row r="29" spans="2:7" ht="15" thickBot="1" x14ac:dyDescent="0.4"/>
    <row r="30" spans="2:7" ht="16" thickBot="1" x14ac:dyDescent="0.4">
      <c r="B30" s="47">
        <v>45809</v>
      </c>
      <c r="C30" s="48"/>
      <c r="D30" s="48"/>
      <c r="E30" s="48"/>
      <c r="F30" s="49"/>
    </row>
    <row r="31" spans="2:7" ht="16" thickBot="1" x14ac:dyDescent="0.4">
      <c r="B31" s="50" t="s">
        <v>0</v>
      </c>
      <c r="C31" s="51"/>
      <c r="D31" s="52"/>
      <c r="E31" s="53" t="s">
        <v>7</v>
      </c>
      <c r="F31" s="52"/>
    </row>
    <row r="32" spans="2:7" x14ac:dyDescent="0.35">
      <c r="B32" s="13" t="s">
        <v>0</v>
      </c>
      <c r="C32" s="7">
        <v>5500</v>
      </c>
      <c r="D32" s="14"/>
      <c r="E32" s="27">
        <v>45816</v>
      </c>
      <c r="F32" s="14">
        <v>3354</v>
      </c>
    </row>
    <row r="33" spans="2:6" ht="15" thickBot="1" x14ac:dyDescent="0.4">
      <c r="B33" s="15" t="s">
        <v>5</v>
      </c>
      <c r="C33" s="1">
        <f>F34*12</f>
        <v>360</v>
      </c>
      <c r="D33" s="29"/>
      <c r="E33" s="27">
        <v>45785</v>
      </c>
      <c r="F33" s="14">
        <v>3324</v>
      </c>
    </row>
    <row r="34" spans="2:6" ht="15" thickBot="1" x14ac:dyDescent="0.4">
      <c r="B34" s="15" t="s">
        <v>6</v>
      </c>
      <c r="C34" s="1">
        <v>60</v>
      </c>
      <c r="D34" s="29"/>
      <c r="E34" s="28"/>
      <c r="F34" s="26">
        <f>F32-F33</f>
        <v>30</v>
      </c>
    </row>
    <row r="35" spans="2:6" x14ac:dyDescent="0.35">
      <c r="B35" s="15" t="s">
        <v>3</v>
      </c>
      <c r="C35" s="1" t="s">
        <v>3</v>
      </c>
      <c r="D35" s="29"/>
      <c r="F35" s="17"/>
    </row>
    <row r="36" spans="2:6" ht="15" thickBot="1" x14ac:dyDescent="0.4">
      <c r="B36" s="18"/>
      <c r="C36" s="3"/>
      <c r="D36" s="16"/>
      <c r="F36" s="17"/>
    </row>
    <row r="37" spans="2:6" ht="15" thickBot="1" x14ac:dyDescent="0.4">
      <c r="B37" s="21" t="s">
        <v>9</v>
      </c>
      <c r="C37" s="25">
        <f>SUM(C32:C36)</f>
        <v>5920</v>
      </c>
      <c r="D37" s="22"/>
      <c r="E37" s="23"/>
      <c r="F37" s="24"/>
    </row>
    <row r="38" spans="2:6" ht="15" thickBot="1" x14ac:dyDescent="0.4"/>
    <row r="39" spans="2:6" ht="16" thickBot="1" x14ac:dyDescent="0.4">
      <c r="B39" s="47">
        <v>45839</v>
      </c>
      <c r="C39" s="48"/>
      <c r="D39" s="48"/>
      <c r="E39" s="48"/>
      <c r="F39" s="49"/>
    </row>
    <row r="40" spans="2:6" ht="16" thickBot="1" x14ac:dyDescent="0.4">
      <c r="B40" s="50" t="s">
        <v>0</v>
      </c>
      <c r="C40" s="51"/>
      <c r="D40" s="52"/>
      <c r="E40" s="53" t="s">
        <v>7</v>
      </c>
      <c r="F40" s="52"/>
    </row>
    <row r="41" spans="2:6" x14ac:dyDescent="0.35">
      <c r="B41" s="13" t="s">
        <v>0</v>
      </c>
      <c r="C41" s="7">
        <v>5500</v>
      </c>
      <c r="D41" s="14"/>
      <c r="E41" s="27">
        <v>45816</v>
      </c>
      <c r="F41" s="14">
        <v>3388</v>
      </c>
    </row>
    <row r="42" spans="2:6" ht="15" thickBot="1" x14ac:dyDescent="0.4">
      <c r="B42" s="15" t="s">
        <v>5</v>
      </c>
      <c r="C42" s="1">
        <f>F43*12</f>
        <v>408</v>
      </c>
      <c r="D42" s="29"/>
      <c r="E42" s="27">
        <v>45785</v>
      </c>
      <c r="F42" s="14">
        <v>3354</v>
      </c>
    </row>
    <row r="43" spans="2:6" ht="15" thickBot="1" x14ac:dyDescent="0.4">
      <c r="B43" s="15" t="s">
        <v>6</v>
      </c>
      <c r="C43" s="1">
        <v>60</v>
      </c>
      <c r="D43" s="29"/>
      <c r="E43" s="28"/>
      <c r="F43" s="26">
        <f>F41-F42</f>
        <v>34</v>
      </c>
    </row>
    <row r="44" spans="2:6" x14ac:dyDescent="0.35">
      <c r="B44" s="15" t="s">
        <v>8</v>
      </c>
      <c r="C44" s="1">
        <v>70</v>
      </c>
      <c r="D44" s="29"/>
      <c r="F44" s="17"/>
    </row>
    <row r="45" spans="2:6" ht="15" thickBot="1" x14ac:dyDescent="0.4">
      <c r="B45" s="18"/>
      <c r="C45" s="3"/>
      <c r="D45" s="16"/>
      <c r="F45" s="17"/>
    </row>
    <row r="46" spans="2:6" ht="15" thickBot="1" x14ac:dyDescent="0.4">
      <c r="B46" s="21" t="s">
        <v>9</v>
      </c>
      <c r="C46" s="25">
        <f>SUM(C41:C45)</f>
        <v>6038</v>
      </c>
      <c r="D46" s="22"/>
      <c r="E46" s="23"/>
      <c r="F46" s="24"/>
    </row>
    <row r="47" spans="2:6" ht="15" thickBot="1" x14ac:dyDescent="0.4"/>
    <row r="48" spans="2:6" ht="16" thickBot="1" x14ac:dyDescent="0.4">
      <c r="B48" s="47">
        <v>45870</v>
      </c>
      <c r="C48" s="48"/>
      <c r="D48" s="48"/>
      <c r="E48" s="48"/>
      <c r="F48" s="49"/>
    </row>
    <row r="49" spans="2:6" ht="16" thickBot="1" x14ac:dyDescent="0.4">
      <c r="B49" s="50" t="s">
        <v>0</v>
      </c>
      <c r="C49" s="51"/>
      <c r="D49" s="52"/>
      <c r="E49" s="53" t="s">
        <v>7</v>
      </c>
      <c r="F49" s="52"/>
    </row>
    <row r="50" spans="2:6" x14ac:dyDescent="0.35">
      <c r="B50" s="13" t="s">
        <v>0</v>
      </c>
      <c r="C50" s="7">
        <v>5500</v>
      </c>
      <c r="D50" s="14"/>
      <c r="E50" s="27">
        <v>45877</v>
      </c>
      <c r="F50" s="14">
        <v>3422</v>
      </c>
    </row>
    <row r="51" spans="2:6" ht="15" thickBot="1" x14ac:dyDescent="0.4">
      <c r="B51" s="15" t="s">
        <v>5</v>
      </c>
      <c r="C51" s="1">
        <f>F52*12</f>
        <v>408</v>
      </c>
      <c r="D51" s="29"/>
      <c r="E51" s="27">
        <v>45846</v>
      </c>
      <c r="F51" s="14">
        <v>3388</v>
      </c>
    </row>
    <row r="52" spans="2:6" ht="15" thickBot="1" x14ac:dyDescent="0.4">
      <c r="B52" s="15" t="s">
        <v>6</v>
      </c>
      <c r="C52" s="1">
        <v>60</v>
      </c>
      <c r="D52" s="29"/>
      <c r="E52" s="28"/>
      <c r="F52" s="26">
        <f>F50-F51</f>
        <v>34</v>
      </c>
    </row>
    <row r="53" spans="2:6" x14ac:dyDescent="0.35">
      <c r="B53" s="15" t="s">
        <v>8</v>
      </c>
      <c r="C53" s="1">
        <v>0</v>
      </c>
      <c r="D53" s="29"/>
      <c r="F53" s="17"/>
    </row>
    <row r="54" spans="2:6" x14ac:dyDescent="0.35">
      <c r="B54" s="15" t="s">
        <v>15</v>
      </c>
      <c r="C54" s="1">
        <v>38</v>
      </c>
      <c r="D54" s="16"/>
      <c r="F54" s="17"/>
    </row>
    <row r="55" spans="2:6" ht="15" thickBot="1" x14ac:dyDescent="0.4">
      <c r="B55" s="15"/>
      <c r="C55" s="1"/>
      <c r="D55" s="36"/>
      <c r="F55" s="17"/>
    </row>
    <row r="56" spans="2:6" ht="15" thickBot="1" x14ac:dyDescent="0.4">
      <c r="B56" s="21" t="s">
        <v>9</v>
      </c>
      <c r="C56" s="25">
        <f>SUM(C50:C55)</f>
        <v>6006</v>
      </c>
      <c r="D56" s="22"/>
      <c r="E56" s="23"/>
      <c r="F56" s="24"/>
    </row>
    <row r="57" spans="2:6" ht="15" thickBot="1" x14ac:dyDescent="0.4"/>
    <row r="58" spans="2:6" ht="16" thickBot="1" x14ac:dyDescent="0.4">
      <c r="B58" s="47">
        <v>45901</v>
      </c>
      <c r="C58" s="48"/>
      <c r="D58" s="48"/>
      <c r="E58" s="48"/>
      <c r="F58" s="49"/>
    </row>
    <row r="59" spans="2:6" ht="16" thickBot="1" x14ac:dyDescent="0.4">
      <c r="B59" s="50" t="s">
        <v>0</v>
      </c>
      <c r="C59" s="51"/>
      <c r="D59" s="52"/>
      <c r="E59" s="53" t="s">
        <v>7</v>
      </c>
      <c r="F59" s="52"/>
    </row>
    <row r="60" spans="2:6" x14ac:dyDescent="0.35">
      <c r="B60" s="13" t="s">
        <v>0</v>
      </c>
      <c r="C60" s="7">
        <v>5500</v>
      </c>
      <c r="D60" s="14"/>
      <c r="E60" s="27">
        <v>45938</v>
      </c>
      <c r="F60" s="14">
        <v>3447</v>
      </c>
    </row>
    <row r="61" spans="2:6" ht="15" thickBot="1" x14ac:dyDescent="0.4">
      <c r="B61" s="15" t="s">
        <v>5</v>
      </c>
      <c r="C61" s="1">
        <f>F62*12</f>
        <v>300</v>
      </c>
      <c r="D61" s="29"/>
      <c r="E61" s="27">
        <v>45908</v>
      </c>
      <c r="F61" s="14">
        <v>3422</v>
      </c>
    </row>
    <row r="62" spans="2:6" ht="15" thickBot="1" x14ac:dyDescent="0.4">
      <c r="B62" s="15" t="s">
        <v>6</v>
      </c>
      <c r="C62" s="1">
        <v>60</v>
      </c>
      <c r="D62" s="29"/>
      <c r="E62" s="28"/>
      <c r="F62" s="26">
        <f>F60-F61</f>
        <v>25</v>
      </c>
    </row>
    <row r="63" spans="2:6" x14ac:dyDescent="0.35">
      <c r="B63" s="15" t="s">
        <v>8</v>
      </c>
      <c r="C63" s="1">
        <v>180</v>
      </c>
      <c r="D63" s="29"/>
      <c r="F63" s="17"/>
    </row>
    <row r="64" spans="2:6" ht="15" thickBot="1" x14ac:dyDescent="0.4">
      <c r="B64" s="18"/>
      <c r="C64" s="3"/>
      <c r="D64" s="16"/>
      <c r="F64" s="17"/>
    </row>
    <row r="65" spans="2:8" ht="15" thickBot="1" x14ac:dyDescent="0.4">
      <c r="B65" s="21" t="s">
        <v>9</v>
      </c>
      <c r="C65" s="25">
        <f>SUM(C60:C64)</f>
        <v>6040</v>
      </c>
      <c r="D65" s="22"/>
      <c r="E65" s="23"/>
      <c r="F65" s="24"/>
    </row>
    <row r="66" spans="2:8" ht="15" thickBot="1" x14ac:dyDescent="0.4"/>
    <row r="67" spans="2:8" ht="16" thickBot="1" x14ac:dyDescent="0.4">
      <c r="B67" s="47">
        <v>45931</v>
      </c>
      <c r="C67" s="48"/>
      <c r="D67" s="48"/>
      <c r="E67" s="48"/>
      <c r="F67" s="49"/>
    </row>
    <row r="68" spans="2:8" ht="16" thickBot="1" x14ac:dyDescent="0.4">
      <c r="B68" s="50" t="s">
        <v>0</v>
      </c>
      <c r="C68" s="51"/>
      <c r="D68" s="52"/>
      <c r="E68" s="53" t="s">
        <v>7</v>
      </c>
      <c r="F68" s="52"/>
    </row>
    <row r="69" spans="2:8" x14ac:dyDescent="0.35">
      <c r="B69" s="13" t="s">
        <v>0</v>
      </c>
      <c r="C69" s="7">
        <v>5500</v>
      </c>
      <c r="D69" s="14"/>
      <c r="E69" s="27">
        <v>45969</v>
      </c>
      <c r="F69" s="14">
        <f>F70+F71</f>
        <v>3481</v>
      </c>
      <c r="G69" t="s">
        <v>3</v>
      </c>
      <c r="H69" t="s">
        <v>3</v>
      </c>
    </row>
    <row r="70" spans="2:8" ht="15" thickBot="1" x14ac:dyDescent="0.4">
      <c r="B70" s="15" t="s">
        <v>5</v>
      </c>
      <c r="C70" s="1">
        <f>F71*12</f>
        <v>408</v>
      </c>
      <c r="D70" s="29"/>
      <c r="E70" s="27">
        <v>45938</v>
      </c>
      <c r="F70" s="14">
        <v>3447</v>
      </c>
    </row>
    <row r="71" spans="2:8" ht="15" thickBot="1" x14ac:dyDescent="0.4">
      <c r="B71" s="15" t="s">
        <v>6</v>
      </c>
      <c r="C71" s="1">
        <v>60</v>
      </c>
      <c r="D71" s="29"/>
      <c r="E71" s="28"/>
      <c r="F71" s="26">
        <v>34</v>
      </c>
    </row>
    <row r="72" spans="2:8" x14ac:dyDescent="0.35">
      <c r="B72" s="15" t="s">
        <v>8</v>
      </c>
      <c r="C72" s="1">
        <v>0</v>
      </c>
      <c r="D72" s="29"/>
      <c r="F72" s="17"/>
    </row>
    <row r="73" spans="2:8" ht="15" thickBot="1" x14ac:dyDescent="0.4">
      <c r="B73" s="15" t="s">
        <v>15</v>
      </c>
      <c r="C73" s="1">
        <v>40</v>
      </c>
      <c r="D73" s="16"/>
      <c r="F73" s="17"/>
    </row>
    <row r="74" spans="2:8" ht="15" thickBot="1" x14ac:dyDescent="0.4">
      <c r="B74" s="21" t="s">
        <v>9</v>
      </c>
      <c r="C74" s="25">
        <f>SUM(C69:C73)</f>
        <v>6008</v>
      </c>
      <c r="D74" s="22"/>
      <c r="E74" s="23"/>
      <c r="F74" s="24"/>
    </row>
    <row r="75" spans="2:8" ht="15" thickBot="1" x14ac:dyDescent="0.4"/>
    <row r="76" spans="2:8" ht="16" thickBot="1" x14ac:dyDescent="0.4">
      <c r="B76" s="47">
        <v>45962</v>
      </c>
      <c r="C76" s="48"/>
      <c r="D76" s="48"/>
      <c r="E76" s="48"/>
      <c r="F76" s="49"/>
    </row>
    <row r="77" spans="2:8" ht="16" thickBot="1" x14ac:dyDescent="0.4">
      <c r="B77" s="50" t="s">
        <v>0</v>
      </c>
      <c r="C77" s="51"/>
      <c r="D77" s="52"/>
      <c r="E77" s="53" t="s">
        <v>7</v>
      </c>
      <c r="F77" s="52"/>
    </row>
    <row r="78" spans="2:8" x14ac:dyDescent="0.35">
      <c r="B78" s="13" t="s">
        <v>0</v>
      </c>
      <c r="C78" s="7">
        <v>5500</v>
      </c>
      <c r="D78" s="14"/>
      <c r="E78" s="27">
        <v>45969</v>
      </c>
      <c r="F78" s="14">
        <v>3481</v>
      </c>
    </row>
    <row r="79" spans="2:8" ht="15" thickBot="1" x14ac:dyDescent="0.4">
      <c r="B79" s="15" t="s">
        <v>5</v>
      </c>
      <c r="C79" s="1">
        <f>F80*12</f>
        <v>240</v>
      </c>
      <c r="D79" s="29"/>
      <c r="E79" s="27">
        <v>45999</v>
      </c>
      <c r="F79" s="14">
        <v>3501</v>
      </c>
    </row>
    <row r="80" spans="2:8" ht="15" thickBot="1" x14ac:dyDescent="0.4">
      <c r="B80" s="15" t="s">
        <v>6</v>
      </c>
      <c r="C80" s="1">
        <v>60</v>
      </c>
      <c r="D80" s="29"/>
      <c r="E80" s="28"/>
      <c r="F80" s="26">
        <f>F79-F78</f>
        <v>20</v>
      </c>
    </row>
    <row r="81" spans="2:6" x14ac:dyDescent="0.35">
      <c r="B81" s="15" t="s">
        <v>8</v>
      </c>
      <c r="C81" s="1">
        <v>0</v>
      </c>
      <c r="D81" s="29"/>
      <c r="F81" s="17"/>
    </row>
    <row r="82" spans="2:6" ht="15" thickBot="1" x14ac:dyDescent="0.4">
      <c r="B82" s="15" t="s">
        <v>15</v>
      </c>
      <c r="C82" s="1">
        <v>0</v>
      </c>
      <c r="D82" s="16"/>
      <c r="F82" s="17"/>
    </row>
    <row r="83" spans="2:6" ht="15" thickBot="1" x14ac:dyDescent="0.4">
      <c r="B83" s="21" t="s">
        <v>9</v>
      </c>
      <c r="C83" s="25">
        <f>SUM(C78:C82)</f>
        <v>5800</v>
      </c>
      <c r="D83" s="22"/>
      <c r="E83" s="23"/>
      <c r="F83" s="24"/>
    </row>
    <row r="84" spans="2:6" ht="15" thickBot="1" x14ac:dyDescent="0.4"/>
    <row r="85" spans="2:6" ht="16" thickBot="1" x14ac:dyDescent="0.4">
      <c r="B85" s="47">
        <v>45992</v>
      </c>
      <c r="C85" s="48"/>
      <c r="D85" s="48"/>
      <c r="E85" s="48"/>
      <c r="F85" s="49"/>
    </row>
    <row r="86" spans="2:6" ht="16" thickBot="1" x14ac:dyDescent="0.4">
      <c r="B86" s="50" t="s">
        <v>0</v>
      </c>
      <c r="C86" s="51"/>
      <c r="D86" s="52"/>
      <c r="E86" s="53" t="s">
        <v>7</v>
      </c>
      <c r="F86" s="52"/>
    </row>
    <row r="87" spans="2:6" x14ac:dyDescent="0.35">
      <c r="B87" s="13" t="s">
        <v>0</v>
      </c>
      <c r="C87" s="7">
        <v>5500</v>
      </c>
      <c r="D87" s="14"/>
      <c r="E87" s="27">
        <v>45999</v>
      </c>
      <c r="F87" s="14">
        <v>3501</v>
      </c>
    </row>
    <row r="88" spans="2:6" ht="15" thickBot="1" x14ac:dyDescent="0.4">
      <c r="B88" s="15" t="s">
        <v>5</v>
      </c>
      <c r="C88" s="1">
        <f>F89*12</f>
        <v>204</v>
      </c>
      <c r="D88" s="29"/>
      <c r="E88" s="27">
        <v>46030</v>
      </c>
      <c r="F88" s="14">
        <v>3518</v>
      </c>
    </row>
    <row r="89" spans="2:6" ht="15" thickBot="1" x14ac:dyDescent="0.4">
      <c r="B89" s="15" t="s">
        <v>6</v>
      </c>
      <c r="C89" s="1">
        <v>60</v>
      </c>
      <c r="D89" s="29"/>
      <c r="E89" s="28"/>
      <c r="F89" s="26">
        <f>F88-F87</f>
        <v>17</v>
      </c>
    </row>
    <row r="90" spans="2:6" x14ac:dyDescent="0.35">
      <c r="B90" s="15" t="s">
        <v>8</v>
      </c>
      <c r="C90" s="1">
        <v>0</v>
      </c>
      <c r="D90" s="29"/>
      <c r="F90" s="17"/>
    </row>
    <row r="91" spans="2:6" ht="15" thickBot="1" x14ac:dyDescent="0.4">
      <c r="B91" s="15" t="s">
        <v>15</v>
      </c>
      <c r="C91" s="1">
        <v>0</v>
      </c>
      <c r="D91" s="16"/>
      <c r="F91" s="17"/>
    </row>
    <row r="92" spans="2:6" ht="15" thickBot="1" x14ac:dyDescent="0.4">
      <c r="B92" s="21" t="s">
        <v>9</v>
      </c>
      <c r="C92" s="25">
        <f>SUM(C87:C91)</f>
        <v>5764</v>
      </c>
      <c r="D92" s="22"/>
      <c r="E92" s="23"/>
      <c r="F92" s="24"/>
    </row>
    <row r="93" spans="2:6" ht="15" thickBot="1" x14ac:dyDescent="0.4"/>
    <row r="94" spans="2:6" ht="16" thickBot="1" x14ac:dyDescent="0.4">
      <c r="B94" s="47">
        <v>46023</v>
      </c>
      <c r="C94" s="48"/>
      <c r="D94" s="48"/>
      <c r="E94" s="48"/>
      <c r="F94" s="49"/>
    </row>
    <row r="95" spans="2:6" ht="16" thickBot="1" x14ac:dyDescent="0.4">
      <c r="B95" s="50" t="s">
        <v>0</v>
      </c>
      <c r="C95" s="51"/>
      <c r="D95" s="52"/>
      <c r="E95" s="53" t="s">
        <v>7</v>
      </c>
      <c r="F95" s="52"/>
    </row>
    <row r="96" spans="2:6" x14ac:dyDescent="0.35">
      <c r="B96" s="13" t="s">
        <v>0</v>
      </c>
      <c r="C96" s="7">
        <v>6100</v>
      </c>
      <c r="D96" s="14"/>
      <c r="E96" s="27">
        <v>45999</v>
      </c>
      <c r="F96" s="14">
        <v>3518</v>
      </c>
    </row>
    <row r="97" spans="2:9" ht="15" thickBot="1" x14ac:dyDescent="0.4">
      <c r="B97" s="15" t="s">
        <v>5</v>
      </c>
      <c r="C97" s="1">
        <f>F98*12</f>
        <v>384</v>
      </c>
      <c r="D97" s="29"/>
      <c r="E97" s="27">
        <v>46030</v>
      </c>
      <c r="F97" s="14">
        <v>3550</v>
      </c>
    </row>
    <row r="98" spans="2:9" ht="15" thickBot="1" x14ac:dyDescent="0.4">
      <c r="B98" s="15" t="s">
        <v>6</v>
      </c>
      <c r="C98" s="1">
        <v>60</v>
      </c>
      <c r="D98" s="29"/>
      <c r="E98" s="28"/>
      <c r="F98" s="26">
        <f>F97-F96</f>
        <v>32</v>
      </c>
    </row>
    <row r="99" spans="2:9" x14ac:dyDescent="0.35">
      <c r="B99" s="15" t="s">
        <v>16</v>
      </c>
      <c r="C99" s="1">
        <v>100</v>
      </c>
      <c r="D99" s="29"/>
      <c r="F99" s="37"/>
    </row>
    <row r="100" spans="2:9" x14ac:dyDescent="0.35">
      <c r="B100" s="15" t="s">
        <v>8</v>
      </c>
      <c r="C100" s="1">
        <v>0</v>
      </c>
      <c r="D100" s="29"/>
      <c r="F100" s="17"/>
    </row>
    <row r="101" spans="2:9" ht="15" thickBot="1" x14ac:dyDescent="0.4">
      <c r="B101" s="15" t="s">
        <v>15</v>
      </c>
      <c r="C101" s="1">
        <v>0</v>
      </c>
      <c r="D101" s="16"/>
      <c r="F101" s="17"/>
    </row>
    <row r="102" spans="2:9" ht="15" thickBot="1" x14ac:dyDescent="0.4">
      <c r="B102" s="21" t="s">
        <v>9</v>
      </c>
      <c r="C102" s="25">
        <f>SUM(C96:C101)</f>
        <v>6644</v>
      </c>
      <c r="D102" s="22"/>
      <c r="E102" s="23"/>
      <c r="F102" s="24"/>
    </row>
    <row r="103" spans="2:9" ht="15" thickBot="1" x14ac:dyDescent="0.4"/>
    <row r="104" spans="2:9" ht="16" thickBot="1" x14ac:dyDescent="0.4">
      <c r="B104" s="47">
        <v>46054</v>
      </c>
      <c r="C104" s="48"/>
      <c r="D104" s="48"/>
      <c r="E104" s="48"/>
      <c r="F104" s="49"/>
    </row>
    <row r="105" spans="2:9" ht="16" thickBot="1" x14ac:dyDescent="0.4">
      <c r="B105" s="50" t="s">
        <v>0</v>
      </c>
      <c r="C105" s="51"/>
      <c r="D105" s="52"/>
      <c r="E105" s="53" t="s">
        <v>7</v>
      </c>
      <c r="F105" s="52"/>
      <c r="I105">
        <f>7200/900</f>
        <v>8</v>
      </c>
    </row>
    <row r="106" spans="2:9" x14ac:dyDescent="0.35">
      <c r="B106" s="13" t="s">
        <v>0</v>
      </c>
      <c r="C106" s="7">
        <v>6100</v>
      </c>
      <c r="D106" s="14"/>
      <c r="E106" s="27">
        <v>46030</v>
      </c>
      <c r="F106" s="14">
        <v>3550</v>
      </c>
    </row>
    <row r="107" spans="2:9" ht="15" thickBot="1" x14ac:dyDescent="0.4">
      <c r="B107" s="15" t="s">
        <v>5</v>
      </c>
      <c r="C107" s="1">
        <f>F108*12</f>
        <v>540</v>
      </c>
      <c r="D107" s="29"/>
      <c r="E107" s="27">
        <v>46061</v>
      </c>
      <c r="F107" s="14">
        <v>3595</v>
      </c>
    </row>
    <row r="108" spans="2:9" ht="15" thickBot="1" x14ac:dyDescent="0.4">
      <c r="B108" s="15" t="s">
        <v>6</v>
      </c>
      <c r="C108" s="1">
        <v>60</v>
      </c>
      <c r="D108" s="29"/>
      <c r="E108" s="28"/>
      <c r="F108" s="26">
        <f>F107-F106</f>
        <v>45</v>
      </c>
    </row>
    <row r="109" spans="2:9" x14ac:dyDescent="0.35">
      <c r="B109" s="15" t="s">
        <v>16</v>
      </c>
      <c r="C109" s="1">
        <v>100</v>
      </c>
      <c r="D109" s="29"/>
      <c r="F109" s="37"/>
    </row>
    <row r="110" spans="2:9" x14ac:dyDescent="0.35">
      <c r="B110" s="15" t="s">
        <v>8</v>
      </c>
      <c r="C110" s="1">
        <v>0</v>
      </c>
      <c r="D110" s="29"/>
      <c r="F110" s="17"/>
    </row>
    <row r="111" spans="2:9" ht="15" thickBot="1" x14ac:dyDescent="0.4">
      <c r="B111" s="15" t="s">
        <v>15</v>
      </c>
      <c r="C111" s="1">
        <v>44</v>
      </c>
      <c r="D111" s="16"/>
      <c r="F111" s="17"/>
    </row>
    <row r="112" spans="2:9" ht="15" thickBot="1" x14ac:dyDescent="0.4">
      <c r="B112" s="21" t="s">
        <v>9</v>
      </c>
      <c r="C112" s="25">
        <f>SUM(C106:C111)</f>
        <v>6844</v>
      </c>
      <c r="D112" s="22"/>
      <c r="E112" s="23"/>
      <c r="F112" s="24"/>
    </row>
    <row r="113" spans="2:6" ht="15" thickBot="1" x14ac:dyDescent="0.4"/>
    <row r="114" spans="2:6" ht="16" thickBot="1" x14ac:dyDescent="0.4">
      <c r="B114" s="47">
        <v>46082</v>
      </c>
      <c r="C114" s="48"/>
      <c r="D114" s="48"/>
      <c r="E114" s="48"/>
      <c r="F114" s="49"/>
    </row>
    <row r="115" spans="2:6" ht="16" thickBot="1" x14ac:dyDescent="0.4">
      <c r="B115" s="50" t="s">
        <v>0</v>
      </c>
      <c r="C115" s="51"/>
      <c r="D115" s="52"/>
      <c r="E115" s="53" t="s">
        <v>7</v>
      </c>
      <c r="F115" s="52"/>
    </row>
    <row r="116" spans="2:6" x14ac:dyDescent="0.35">
      <c r="B116" s="13" t="s">
        <v>0</v>
      </c>
      <c r="C116" s="7">
        <v>6100</v>
      </c>
      <c r="D116" s="14"/>
      <c r="E116" s="27">
        <v>46088</v>
      </c>
      <c r="F116" s="14">
        <v>3595</v>
      </c>
    </row>
    <row r="117" spans="2:6" ht="15" thickBot="1" x14ac:dyDescent="0.4">
      <c r="B117" s="15" t="s">
        <v>5</v>
      </c>
      <c r="C117" s="1">
        <f>F118*12</f>
        <v>672</v>
      </c>
      <c r="D117" s="29"/>
      <c r="E117" s="27">
        <v>46119</v>
      </c>
      <c r="F117" s="14">
        <v>3651</v>
      </c>
    </row>
    <row r="118" spans="2:6" ht="15" thickBot="1" x14ac:dyDescent="0.4">
      <c r="B118" s="15" t="s">
        <v>6</v>
      </c>
      <c r="C118" s="1">
        <v>60</v>
      </c>
      <c r="D118" s="29"/>
      <c r="E118" s="28"/>
      <c r="F118" s="26">
        <f>F117-F116</f>
        <v>56</v>
      </c>
    </row>
    <row r="119" spans="2:6" x14ac:dyDescent="0.35">
      <c r="B119" s="15" t="s">
        <v>16</v>
      </c>
      <c r="C119" s="1">
        <v>100</v>
      </c>
      <c r="D119" s="29"/>
      <c r="F119" s="37"/>
    </row>
    <row r="120" spans="2:6" x14ac:dyDescent="0.35">
      <c r="B120" s="15" t="s">
        <v>8</v>
      </c>
      <c r="C120" s="1">
        <v>0</v>
      </c>
      <c r="D120" s="29"/>
      <c r="F120" s="17"/>
    </row>
    <row r="121" spans="2:6" ht="15" thickBot="1" x14ac:dyDescent="0.4">
      <c r="B121" s="15" t="s">
        <v>15</v>
      </c>
      <c r="C121" s="1">
        <v>44</v>
      </c>
      <c r="D121" s="16"/>
      <c r="F121" s="17"/>
    </row>
    <row r="122" spans="2:6" ht="15" thickBot="1" x14ac:dyDescent="0.4">
      <c r="B122" s="21" t="s">
        <v>9</v>
      </c>
      <c r="C122" s="25">
        <f>SUM(C116:C121)</f>
        <v>6976</v>
      </c>
      <c r="D122" s="22"/>
      <c r="E122" s="23"/>
      <c r="F122" s="24"/>
    </row>
    <row r="123" spans="2:6" ht="15" thickBot="1" x14ac:dyDescent="0.4"/>
    <row r="124" spans="2:6" ht="16" thickBot="1" x14ac:dyDescent="0.4">
      <c r="B124" s="47">
        <v>46113</v>
      </c>
      <c r="C124" s="48"/>
      <c r="D124" s="48"/>
      <c r="E124" s="48"/>
      <c r="F124" s="49"/>
    </row>
    <row r="125" spans="2:6" ht="16" thickBot="1" x14ac:dyDescent="0.4">
      <c r="B125" s="50" t="s">
        <v>0</v>
      </c>
      <c r="C125" s="51"/>
      <c r="D125" s="52"/>
      <c r="E125" s="53" t="s">
        <v>7</v>
      </c>
      <c r="F125" s="52"/>
    </row>
    <row r="126" spans="2:6" x14ac:dyDescent="0.35">
      <c r="B126" s="13" t="s">
        <v>0</v>
      </c>
      <c r="C126" s="7">
        <v>6100</v>
      </c>
      <c r="D126" s="14"/>
      <c r="E126" s="27">
        <v>46088</v>
      </c>
      <c r="F126" s="14">
        <v>3651</v>
      </c>
    </row>
    <row r="127" spans="2:6" ht="15" thickBot="1" x14ac:dyDescent="0.4">
      <c r="B127" s="15" t="s">
        <v>5</v>
      </c>
      <c r="C127" s="1">
        <f>F128*12</f>
        <v>1020</v>
      </c>
      <c r="D127" s="29"/>
      <c r="E127" s="27">
        <v>46119</v>
      </c>
      <c r="F127" s="14">
        <v>3736</v>
      </c>
    </row>
    <row r="128" spans="2:6" ht="15" thickBot="1" x14ac:dyDescent="0.4">
      <c r="B128" s="15" t="s">
        <v>6</v>
      </c>
      <c r="C128" s="1">
        <v>60</v>
      </c>
      <c r="D128" s="29"/>
      <c r="E128" s="28"/>
      <c r="F128" s="26">
        <f>F127-F126</f>
        <v>85</v>
      </c>
    </row>
    <row r="129" spans="2:6" x14ac:dyDescent="0.35">
      <c r="B129" s="15" t="s">
        <v>16</v>
      </c>
      <c r="C129" s="1">
        <v>100</v>
      </c>
      <c r="D129" s="29"/>
      <c r="F129" s="37"/>
    </row>
    <row r="130" spans="2:6" x14ac:dyDescent="0.35">
      <c r="B130" s="15" t="s">
        <v>8</v>
      </c>
      <c r="C130" s="1">
        <v>0</v>
      </c>
      <c r="D130" s="29"/>
      <c r="F130" s="17"/>
    </row>
    <row r="131" spans="2:6" ht="15" thickBot="1" x14ac:dyDescent="0.4">
      <c r="B131" s="15" t="s">
        <v>15</v>
      </c>
      <c r="C131" s="1">
        <v>76</v>
      </c>
      <c r="D131" s="16"/>
      <c r="F131" s="17"/>
    </row>
    <row r="132" spans="2:6" ht="15" thickBot="1" x14ac:dyDescent="0.4">
      <c r="B132" s="21" t="s">
        <v>9</v>
      </c>
      <c r="C132" s="25">
        <f>SUM(C126:C131)</f>
        <v>7356</v>
      </c>
      <c r="D132" s="22"/>
      <c r="E132" s="23"/>
      <c r="F132" s="24"/>
    </row>
    <row r="134" spans="2:6" ht="15" thickBot="1" x14ac:dyDescent="0.4"/>
    <row r="135" spans="2:6" ht="16" thickBot="1" x14ac:dyDescent="0.4">
      <c r="B135" s="47">
        <v>46143</v>
      </c>
      <c r="C135" s="48"/>
      <c r="D135" s="48"/>
      <c r="E135" s="48"/>
      <c r="F135" s="49"/>
    </row>
    <row r="136" spans="2:6" ht="16" thickBot="1" x14ac:dyDescent="0.4">
      <c r="B136" s="50" t="s">
        <v>0</v>
      </c>
      <c r="C136" s="51"/>
      <c r="D136" s="52"/>
      <c r="E136" s="53" t="s">
        <v>7</v>
      </c>
      <c r="F136" s="52"/>
    </row>
    <row r="137" spans="2:6" x14ac:dyDescent="0.35">
      <c r="B137" s="13" t="s">
        <v>0</v>
      </c>
      <c r="C137" s="7">
        <v>6100</v>
      </c>
      <c r="D137" s="14"/>
      <c r="E137" s="27">
        <v>46143</v>
      </c>
      <c r="F137" s="14">
        <v>3736</v>
      </c>
    </row>
    <row r="138" spans="2:6" ht="15" thickBot="1" x14ac:dyDescent="0.4">
      <c r="B138" s="15" t="s">
        <v>5</v>
      </c>
      <c r="C138" s="1">
        <f>F139*12</f>
        <v>768</v>
      </c>
      <c r="D138" s="29"/>
      <c r="E138" s="27">
        <v>46174</v>
      </c>
      <c r="F138" s="14">
        <v>3800</v>
      </c>
    </row>
    <row r="139" spans="2:6" ht="15" thickBot="1" x14ac:dyDescent="0.4">
      <c r="B139" s="15" t="s">
        <v>6</v>
      </c>
      <c r="C139" s="1">
        <v>60</v>
      </c>
      <c r="D139" s="29"/>
      <c r="E139" s="28"/>
      <c r="F139" s="26">
        <f>F138-F137</f>
        <v>64</v>
      </c>
    </row>
    <row r="140" spans="2:6" x14ac:dyDescent="0.35">
      <c r="B140" s="15" t="s">
        <v>16</v>
      </c>
      <c r="C140" s="1">
        <v>100</v>
      </c>
      <c r="D140" s="29"/>
      <c r="F140" s="37"/>
    </row>
    <row r="141" spans="2:6" x14ac:dyDescent="0.35">
      <c r="B141" s="15" t="s">
        <v>8</v>
      </c>
      <c r="C141" s="1">
        <v>0</v>
      </c>
      <c r="D141" s="29"/>
      <c r="F141" s="17"/>
    </row>
    <row r="142" spans="2:6" ht="15" thickBot="1" x14ac:dyDescent="0.4">
      <c r="B142" s="15" t="s">
        <v>15</v>
      </c>
      <c r="C142" s="1">
        <v>56</v>
      </c>
      <c r="D142" s="16"/>
      <c r="F142" s="17"/>
    </row>
    <row r="143" spans="2:6" ht="15" thickBot="1" x14ac:dyDescent="0.4">
      <c r="B143" s="21" t="s">
        <v>9</v>
      </c>
      <c r="C143" s="25">
        <f>SUM(C137:C142)</f>
        <v>7084</v>
      </c>
      <c r="D143" s="22"/>
      <c r="E143" s="23"/>
      <c r="F143" s="24"/>
    </row>
    <row r="144" spans="2:6" ht="15" thickBot="1" x14ac:dyDescent="0.4"/>
    <row r="145" spans="2:6" ht="16" thickBot="1" x14ac:dyDescent="0.4">
      <c r="B145" s="47">
        <v>46174</v>
      </c>
      <c r="C145" s="48"/>
      <c r="D145" s="48"/>
      <c r="E145" s="48"/>
      <c r="F145" s="49"/>
    </row>
    <row r="146" spans="2:6" ht="16" thickBot="1" x14ac:dyDescent="0.4">
      <c r="B146" s="50" t="s">
        <v>0</v>
      </c>
      <c r="C146" s="51"/>
      <c r="D146" s="52"/>
      <c r="E146" s="53" t="s">
        <v>7</v>
      </c>
      <c r="F146" s="52"/>
    </row>
    <row r="147" spans="2:6" x14ac:dyDescent="0.35">
      <c r="B147" s="13" t="s">
        <v>0</v>
      </c>
      <c r="C147" s="7">
        <v>6100</v>
      </c>
      <c r="D147" s="14"/>
      <c r="E147" s="27">
        <v>46174</v>
      </c>
      <c r="F147" s="14">
        <v>3800</v>
      </c>
    </row>
    <row r="148" spans="2:6" ht="15" thickBot="1" x14ac:dyDescent="0.4">
      <c r="B148" s="15" t="s">
        <v>5</v>
      </c>
      <c r="C148" s="1">
        <f>F149*12</f>
        <v>480</v>
      </c>
      <c r="D148" s="29"/>
      <c r="E148" s="27">
        <v>46204</v>
      </c>
      <c r="F148" s="14">
        <v>3840</v>
      </c>
    </row>
    <row r="149" spans="2:6" ht="15" thickBot="1" x14ac:dyDescent="0.4">
      <c r="B149" s="15" t="s">
        <v>6</v>
      </c>
      <c r="C149" s="1">
        <v>70</v>
      </c>
      <c r="D149" s="29"/>
      <c r="E149" s="28"/>
      <c r="F149" s="26">
        <f>F148-F147</f>
        <v>40</v>
      </c>
    </row>
    <row r="150" spans="2:6" x14ac:dyDescent="0.35">
      <c r="B150" s="15" t="s">
        <v>16</v>
      </c>
      <c r="C150" s="1">
        <v>100</v>
      </c>
      <c r="D150" s="29"/>
      <c r="F150" s="37"/>
    </row>
    <row r="151" spans="2:6" x14ac:dyDescent="0.35">
      <c r="B151" s="15" t="s">
        <v>8</v>
      </c>
      <c r="C151" s="1">
        <v>0</v>
      </c>
      <c r="D151" s="29"/>
      <c r="F151" s="17"/>
    </row>
    <row r="152" spans="2:6" ht="15" thickBot="1" x14ac:dyDescent="0.4">
      <c r="B152" s="15" t="s">
        <v>15</v>
      </c>
      <c r="C152" s="1">
        <v>84</v>
      </c>
      <c r="D152" s="16"/>
      <c r="F152" s="17"/>
    </row>
    <row r="153" spans="2:6" ht="15" thickBot="1" x14ac:dyDescent="0.4">
      <c r="B153" s="21" t="s">
        <v>9</v>
      </c>
      <c r="C153" s="25">
        <f>SUM(C147:C152)</f>
        <v>6834</v>
      </c>
      <c r="D153" s="22"/>
      <c r="E153" s="23"/>
      <c r="F153" s="24"/>
    </row>
    <row r="154" spans="2:6" ht="15" thickBot="1" x14ac:dyDescent="0.4"/>
    <row r="155" spans="2:6" ht="16" thickBot="1" x14ac:dyDescent="0.4">
      <c r="B155" s="47">
        <v>46211</v>
      </c>
      <c r="C155" s="48"/>
      <c r="D155" s="48"/>
      <c r="E155" s="48"/>
      <c r="F155" s="49"/>
    </row>
    <row r="156" spans="2:6" ht="16" thickBot="1" x14ac:dyDescent="0.4">
      <c r="B156" s="50" t="s">
        <v>0</v>
      </c>
      <c r="C156" s="51"/>
      <c r="D156" s="52"/>
      <c r="E156" s="53" t="s">
        <v>7</v>
      </c>
      <c r="F156" s="52"/>
    </row>
    <row r="157" spans="2:6" x14ac:dyDescent="0.35">
      <c r="B157" s="13" t="s">
        <v>0</v>
      </c>
      <c r="C157" s="7">
        <v>6100</v>
      </c>
      <c r="D157" s="14"/>
      <c r="E157" s="27">
        <v>46204</v>
      </c>
      <c r="F157" s="14">
        <v>3840</v>
      </c>
    </row>
    <row r="158" spans="2:6" ht="15" thickBot="1" x14ac:dyDescent="0.4">
      <c r="B158" s="15" t="s">
        <v>5</v>
      </c>
      <c r="C158" s="1">
        <f>F159*12</f>
        <v>432</v>
      </c>
      <c r="D158" s="29"/>
      <c r="E158" s="27">
        <v>46235</v>
      </c>
      <c r="F158" s="14">
        <v>3876</v>
      </c>
    </row>
    <row r="159" spans="2:6" ht="15" thickBot="1" x14ac:dyDescent="0.4">
      <c r="B159" s="15" t="s">
        <v>6</v>
      </c>
      <c r="C159" s="1">
        <v>70</v>
      </c>
      <c r="D159" s="29"/>
      <c r="E159" s="28"/>
      <c r="F159" s="26">
        <f>F158-F157</f>
        <v>36</v>
      </c>
    </row>
    <row r="160" spans="2:6" x14ac:dyDescent="0.35">
      <c r="B160" s="15" t="s">
        <v>16</v>
      </c>
      <c r="C160" s="1">
        <v>100</v>
      </c>
      <c r="D160" s="29"/>
      <c r="F160" s="37"/>
    </row>
    <row r="161" spans="2:6" x14ac:dyDescent="0.35">
      <c r="B161" s="15" t="s">
        <v>8</v>
      </c>
      <c r="C161" s="1">
        <v>0</v>
      </c>
      <c r="D161" s="29"/>
      <c r="F161" s="17"/>
    </row>
    <row r="162" spans="2:6" ht="15" thickBot="1" x14ac:dyDescent="0.4">
      <c r="B162" s="15" t="s">
        <v>15</v>
      </c>
      <c r="C162" s="1">
        <v>34</v>
      </c>
      <c r="D162" s="16"/>
      <c r="F162" s="17"/>
    </row>
    <row r="163" spans="2:6" ht="15" thickBot="1" x14ac:dyDescent="0.4">
      <c r="B163" s="21" t="s">
        <v>9</v>
      </c>
      <c r="C163" s="25">
        <f>SUM(C157:C162)</f>
        <v>6736</v>
      </c>
      <c r="D163" s="22"/>
      <c r="E163" s="23"/>
      <c r="F163" s="24"/>
    </row>
    <row r="164" spans="2:6" ht="15" thickBot="1" x14ac:dyDescent="0.4"/>
    <row r="165" spans="2:6" ht="16" thickBot="1" x14ac:dyDescent="0.4">
      <c r="B165" s="47">
        <v>46242</v>
      </c>
      <c r="C165" s="48"/>
      <c r="D165" s="48"/>
      <c r="E165" s="48"/>
      <c r="F165" s="49"/>
    </row>
    <row r="166" spans="2:6" ht="16" thickBot="1" x14ac:dyDescent="0.4">
      <c r="B166" s="50" t="s">
        <v>0</v>
      </c>
      <c r="C166" s="51"/>
      <c r="D166" s="52"/>
      <c r="E166" s="53" t="s">
        <v>7</v>
      </c>
      <c r="F166" s="52"/>
    </row>
    <row r="167" spans="2:6" x14ac:dyDescent="0.35">
      <c r="B167" s="13" t="s">
        <v>0</v>
      </c>
      <c r="C167" s="7">
        <v>6100</v>
      </c>
      <c r="D167" s="14"/>
      <c r="E167" s="27">
        <v>46235</v>
      </c>
      <c r="F167" s="14">
        <v>3876</v>
      </c>
    </row>
    <row r="168" spans="2:6" ht="15" thickBot="1" x14ac:dyDescent="0.4">
      <c r="B168" s="15" t="s">
        <v>5</v>
      </c>
      <c r="C168" s="1">
        <f>F169*12</f>
        <v>396</v>
      </c>
      <c r="D168" s="29"/>
      <c r="E168" s="27">
        <v>46266</v>
      </c>
      <c r="F168" s="14">
        <v>3909</v>
      </c>
    </row>
    <row r="169" spans="2:6" ht="15" thickBot="1" x14ac:dyDescent="0.4">
      <c r="B169" s="15" t="s">
        <v>6</v>
      </c>
      <c r="C169" s="1">
        <v>70</v>
      </c>
      <c r="D169" s="29"/>
      <c r="E169" s="28"/>
      <c r="F169" s="26">
        <f>F168-F167</f>
        <v>33</v>
      </c>
    </row>
    <row r="170" spans="2:6" x14ac:dyDescent="0.35">
      <c r="B170" s="15" t="s">
        <v>16</v>
      </c>
      <c r="C170" s="1">
        <v>100</v>
      </c>
      <c r="D170" s="29"/>
      <c r="F170" s="37"/>
    </row>
    <row r="171" spans="2:6" x14ac:dyDescent="0.35">
      <c r="B171" s="15" t="s">
        <v>8</v>
      </c>
      <c r="C171" s="1">
        <v>0</v>
      </c>
      <c r="D171" s="29"/>
      <c r="F171" s="17"/>
    </row>
    <row r="172" spans="2:6" ht="15" thickBot="1" x14ac:dyDescent="0.4">
      <c r="B172" s="15" t="s">
        <v>15</v>
      </c>
      <c r="C172" s="1">
        <v>36</v>
      </c>
      <c r="D172" s="16"/>
      <c r="F172" s="17"/>
    </row>
    <row r="173" spans="2:6" ht="15" thickBot="1" x14ac:dyDescent="0.4">
      <c r="B173" s="21" t="s">
        <v>9</v>
      </c>
      <c r="C173" s="25">
        <f>SUM(C167:C172)</f>
        <v>6702</v>
      </c>
      <c r="D173" s="22"/>
      <c r="E173" s="23"/>
      <c r="F173" s="24"/>
    </row>
  </sheetData>
  <mergeCells count="54">
    <mergeCell ref="B165:F165"/>
    <mergeCell ref="B166:D166"/>
    <mergeCell ref="E166:F166"/>
    <mergeCell ref="B155:F155"/>
    <mergeCell ref="B156:D156"/>
    <mergeCell ref="E156:F156"/>
    <mergeCell ref="B114:F114"/>
    <mergeCell ref="B115:D115"/>
    <mergeCell ref="E115:F115"/>
    <mergeCell ref="B124:F124"/>
    <mergeCell ref="B125:D125"/>
    <mergeCell ref="E125:F125"/>
    <mergeCell ref="B145:F145"/>
    <mergeCell ref="B146:D146"/>
    <mergeCell ref="E146:F146"/>
    <mergeCell ref="B135:F135"/>
    <mergeCell ref="B136:D136"/>
    <mergeCell ref="E136:F136"/>
    <mergeCell ref="B76:F76"/>
    <mergeCell ref="B77:D77"/>
    <mergeCell ref="E77:F77"/>
    <mergeCell ref="B104:F104"/>
    <mergeCell ref="B105:D105"/>
    <mergeCell ref="E105:F105"/>
    <mergeCell ref="B85:F85"/>
    <mergeCell ref="B86:D86"/>
    <mergeCell ref="E86:F86"/>
    <mergeCell ref="B94:F94"/>
    <mergeCell ref="B95:D95"/>
    <mergeCell ref="E95:F95"/>
    <mergeCell ref="B2:F2"/>
    <mergeCell ref="B3:D3"/>
    <mergeCell ref="E3:F3"/>
    <mergeCell ref="B12:F12"/>
    <mergeCell ref="B13:D13"/>
    <mergeCell ref="E13:F13"/>
    <mergeCell ref="B21:F21"/>
    <mergeCell ref="B22:D22"/>
    <mergeCell ref="E22:F22"/>
    <mergeCell ref="B30:F30"/>
    <mergeCell ref="B31:D31"/>
    <mergeCell ref="E31:F31"/>
    <mergeCell ref="B67:F67"/>
    <mergeCell ref="B68:D68"/>
    <mergeCell ref="E68:F68"/>
    <mergeCell ref="B39:F39"/>
    <mergeCell ref="B40:D40"/>
    <mergeCell ref="E40:F40"/>
    <mergeCell ref="B58:F58"/>
    <mergeCell ref="B59:D59"/>
    <mergeCell ref="E59:F59"/>
    <mergeCell ref="B48:F48"/>
    <mergeCell ref="B49:D49"/>
    <mergeCell ref="E49:F4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61C48-6EDA-48EF-B703-FB8A7DCE7440}">
  <dimension ref="B1:M123"/>
  <sheetViews>
    <sheetView topLeftCell="A113" zoomScale="90" zoomScaleNormal="90" workbookViewId="0">
      <selection activeCell="J121" sqref="J121"/>
    </sheetView>
  </sheetViews>
  <sheetFormatPr defaultRowHeight="14.5" x14ac:dyDescent="0.35"/>
  <cols>
    <col min="2" max="2" width="19.7265625" bestFit="1" customWidth="1"/>
    <col min="3" max="3" width="10.26953125" customWidth="1"/>
    <col min="5" max="5" width="14.08984375" bestFit="1" customWidth="1"/>
    <col min="6" max="6" width="11.54296875" customWidth="1"/>
  </cols>
  <sheetData>
    <row r="1" spans="2:11" ht="15" thickBot="1" x14ac:dyDescent="0.4"/>
    <row r="2" spans="2:11" ht="16" thickBot="1" x14ac:dyDescent="0.4">
      <c r="B2" s="47">
        <v>45717</v>
      </c>
      <c r="C2" s="48"/>
      <c r="D2" s="48"/>
      <c r="E2" s="48"/>
      <c r="F2" s="49"/>
    </row>
    <row r="3" spans="2:11" ht="17" customHeight="1" thickBot="1" x14ac:dyDescent="0.4">
      <c r="B3" s="50" t="s">
        <v>0</v>
      </c>
      <c r="C3" s="51"/>
      <c r="D3" s="52"/>
      <c r="E3" s="53" t="s">
        <v>7</v>
      </c>
      <c r="F3" s="52"/>
    </row>
    <row r="4" spans="2:11" x14ac:dyDescent="0.35">
      <c r="B4" s="13" t="s">
        <v>0</v>
      </c>
      <c r="C4" s="7">
        <v>5500</v>
      </c>
      <c r="D4" s="14"/>
      <c r="E4" s="27">
        <v>45755</v>
      </c>
      <c r="F4" s="14">
        <v>4581</v>
      </c>
    </row>
    <row r="5" spans="2:11" ht="15" thickBot="1" x14ac:dyDescent="0.4">
      <c r="B5" s="15" t="s">
        <v>5</v>
      </c>
      <c r="C5" s="1">
        <f>F6*12</f>
        <v>576</v>
      </c>
      <c r="D5" s="29"/>
      <c r="E5" s="27">
        <v>45724</v>
      </c>
      <c r="F5" s="14">
        <v>4533</v>
      </c>
    </row>
    <row r="6" spans="2:11" ht="15" thickBot="1" x14ac:dyDescent="0.4">
      <c r="B6" s="15" t="s">
        <v>6</v>
      </c>
      <c r="C6" s="1">
        <v>60</v>
      </c>
      <c r="D6" s="29"/>
      <c r="E6" s="28"/>
      <c r="F6" s="26">
        <f>F4-F5</f>
        <v>48</v>
      </c>
    </row>
    <row r="7" spans="2:11" x14ac:dyDescent="0.35">
      <c r="B7" s="15" t="s">
        <v>8</v>
      </c>
      <c r="C7" s="1">
        <v>140</v>
      </c>
      <c r="D7" s="29"/>
      <c r="F7" s="17"/>
    </row>
    <row r="8" spans="2:11" ht="15" thickBot="1" x14ac:dyDescent="0.4">
      <c r="B8" s="18"/>
      <c r="C8" s="3"/>
      <c r="D8" s="16"/>
      <c r="F8" s="17"/>
    </row>
    <row r="9" spans="2:11" ht="15" thickBot="1" x14ac:dyDescent="0.4">
      <c r="B9" s="21" t="s">
        <v>4</v>
      </c>
      <c r="C9" s="25">
        <f>SUM(C4:C8)</f>
        <v>6276</v>
      </c>
      <c r="D9" s="22"/>
      <c r="E9" s="23"/>
      <c r="F9" s="24"/>
    </row>
    <row r="11" spans="2:11" ht="15" thickBot="1" x14ac:dyDescent="0.4">
      <c r="K11" t="s">
        <v>3</v>
      </c>
    </row>
    <row r="12" spans="2:11" ht="16" thickBot="1" x14ac:dyDescent="0.4">
      <c r="B12" s="47">
        <v>45748</v>
      </c>
      <c r="C12" s="48"/>
      <c r="D12" s="48"/>
      <c r="E12" s="48"/>
      <c r="F12" s="49"/>
    </row>
    <row r="13" spans="2:11" ht="19.5" customHeight="1" thickBot="1" x14ac:dyDescent="0.4">
      <c r="B13" s="50" t="s">
        <v>0</v>
      </c>
      <c r="C13" s="51"/>
      <c r="D13" s="52"/>
      <c r="E13" s="53" t="s">
        <v>7</v>
      </c>
      <c r="F13" s="52"/>
    </row>
    <row r="14" spans="2:11" x14ac:dyDescent="0.35">
      <c r="B14" s="13" t="s">
        <v>0</v>
      </c>
      <c r="C14" s="7">
        <v>5500</v>
      </c>
      <c r="D14" s="14"/>
      <c r="E14" s="27">
        <v>45785</v>
      </c>
      <c r="F14" s="14">
        <v>4625</v>
      </c>
    </row>
    <row r="15" spans="2:11" ht="15" thickBot="1" x14ac:dyDescent="0.4">
      <c r="B15" s="15" t="s">
        <v>5</v>
      </c>
      <c r="C15" s="1">
        <f>F16*12</f>
        <v>528</v>
      </c>
      <c r="D15" s="29"/>
      <c r="E15" s="27">
        <v>45755</v>
      </c>
      <c r="F15" s="14">
        <v>4581</v>
      </c>
    </row>
    <row r="16" spans="2:11" ht="15" thickBot="1" x14ac:dyDescent="0.4">
      <c r="B16" s="15" t="s">
        <v>6</v>
      </c>
      <c r="C16" s="1">
        <v>60</v>
      </c>
      <c r="D16" s="29"/>
      <c r="E16" s="28"/>
      <c r="F16" s="26">
        <f>F14-F15</f>
        <v>44</v>
      </c>
    </row>
    <row r="17" spans="2:7" x14ac:dyDescent="0.35">
      <c r="B17" s="15" t="s">
        <v>3</v>
      </c>
      <c r="C17" s="1" t="s">
        <v>3</v>
      </c>
      <c r="D17" s="29"/>
      <c r="F17" s="17"/>
    </row>
    <row r="18" spans="2:7" ht="15" thickBot="1" x14ac:dyDescent="0.4">
      <c r="B18" s="18"/>
      <c r="C18" s="3"/>
      <c r="D18" s="16"/>
      <c r="F18" s="17"/>
      <c r="G18" t="s">
        <v>3</v>
      </c>
    </row>
    <row r="19" spans="2:7" ht="19" customHeight="1" thickBot="1" x14ac:dyDescent="0.4">
      <c r="B19" s="21" t="s">
        <v>9</v>
      </c>
      <c r="C19" s="25">
        <f>SUM(C14:C18)</f>
        <v>6088</v>
      </c>
      <c r="D19" s="22"/>
      <c r="E19" s="23"/>
      <c r="F19" s="24"/>
    </row>
    <row r="20" spans="2:7" ht="15" thickBot="1" x14ac:dyDescent="0.4">
      <c r="C20" t="s">
        <v>3</v>
      </c>
      <c r="D20" t="s">
        <v>3</v>
      </c>
    </row>
    <row r="21" spans="2:7" ht="16" thickBot="1" x14ac:dyDescent="0.4">
      <c r="B21" s="47">
        <v>45778</v>
      </c>
      <c r="C21" s="48"/>
      <c r="D21" s="48"/>
      <c r="E21" s="48"/>
      <c r="F21" s="49"/>
    </row>
    <row r="22" spans="2:7" ht="16" thickBot="1" x14ac:dyDescent="0.4">
      <c r="B22" s="50" t="s">
        <v>0</v>
      </c>
      <c r="C22" s="51"/>
      <c r="D22" s="52"/>
      <c r="E22" s="53" t="s">
        <v>7</v>
      </c>
      <c r="F22" s="52"/>
    </row>
    <row r="23" spans="2:7" x14ac:dyDescent="0.35">
      <c r="B23" s="13" t="s">
        <v>0</v>
      </c>
      <c r="C23" s="7">
        <v>5500</v>
      </c>
      <c r="D23" s="14"/>
      <c r="E23" s="27">
        <v>45785</v>
      </c>
      <c r="F23" s="14">
        <v>4661</v>
      </c>
    </row>
    <row r="24" spans="2:7" ht="15" thickBot="1" x14ac:dyDescent="0.4">
      <c r="B24" s="15" t="s">
        <v>5</v>
      </c>
      <c r="C24" s="1">
        <f>F25*12</f>
        <v>432</v>
      </c>
      <c r="D24" s="29"/>
      <c r="E24" s="27">
        <v>45755</v>
      </c>
      <c r="F24" s="14">
        <v>4625</v>
      </c>
    </row>
    <row r="25" spans="2:7" ht="15" thickBot="1" x14ac:dyDescent="0.4">
      <c r="B25" s="15" t="s">
        <v>6</v>
      </c>
      <c r="C25" s="1">
        <v>60</v>
      </c>
      <c r="D25" s="29"/>
      <c r="E25" s="28"/>
      <c r="F25" s="26">
        <f>F23-F24</f>
        <v>36</v>
      </c>
    </row>
    <row r="26" spans="2:7" x14ac:dyDescent="0.35">
      <c r="B26" s="15" t="s">
        <v>3</v>
      </c>
      <c r="C26" s="1" t="s">
        <v>3</v>
      </c>
      <c r="D26" s="29"/>
      <c r="F26" s="17"/>
    </row>
    <row r="27" spans="2:7" ht="15" thickBot="1" x14ac:dyDescent="0.4">
      <c r="B27" s="18"/>
      <c r="C27" s="3"/>
      <c r="D27" s="16"/>
      <c r="F27" s="17"/>
    </row>
    <row r="28" spans="2:7" ht="15" thickBot="1" x14ac:dyDescent="0.4">
      <c r="B28" s="21" t="s">
        <v>9</v>
      </c>
      <c r="C28" s="25">
        <f>SUM(C23:C27)</f>
        <v>5992</v>
      </c>
      <c r="D28" s="22"/>
      <c r="E28" s="23"/>
      <c r="F28" s="24"/>
    </row>
    <row r="29" spans="2:7" ht="15" thickBot="1" x14ac:dyDescent="0.4"/>
    <row r="30" spans="2:7" ht="16" thickBot="1" x14ac:dyDescent="0.4">
      <c r="B30" s="47">
        <v>45809</v>
      </c>
      <c r="C30" s="48"/>
      <c r="D30" s="48"/>
      <c r="E30" s="48"/>
      <c r="F30" s="49"/>
    </row>
    <row r="31" spans="2:7" ht="16" thickBot="1" x14ac:dyDescent="0.4">
      <c r="B31" s="50" t="s">
        <v>0</v>
      </c>
      <c r="C31" s="51"/>
      <c r="D31" s="52"/>
      <c r="E31" s="53" t="s">
        <v>7</v>
      </c>
      <c r="F31" s="52"/>
    </row>
    <row r="32" spans="2:7" x14ac:dyDescent="0.35">
      <c r="B32" s="13" t="s">
        <v>0</v>
      </c>
      <c r="C32" s="7">
        <v>5500</v>
      </c>
      <c r="D32" s="14"/>
      <c r="E32" s="27">
        <v>45816</v>
      </c>
      <c r="F32" s="14">
        <v>4704</v>
      </c>
    </row>
    <row r="33" spans="2:6" ht="15" thickBot="1" x14ac:dyDescent="0.4">
      <c r="B33" s="15" t="s">
        <v>5</v>
      </c>
      <c r="C33" s="1">
        <f>F34*12</f>
        <v>516</v>
      </c>
      <c r="D33" s="29"/>
      <c r="E33" s="27">
        <v>45785</v>
      </c>
      <c r="F33" s="14">
        <v>4661</v>
      </c>
    </row>
    <row r="34" spans="2:6" ht="15" thickBot="1" x14ac:dyDescent="0.4">
      <c r="B34" s="15" t="s">
        <v>6</v>
      </c>
      <c r="C34" s="1">
        <v>60</v>
      </c>
      <c r="D34" s="29"/>
      <c r="E34" s="28"/>
      <c r="F34" s="26">
        <f>F32-F33</f>
        <v>43</v>
      </c>
    </row>
    <row r="35" spans="2:6" x14ac:dyDescent="0.35">
      <c r="B35" s="15" t="s">
        <v>3</v>
      </c>
      <c r="C35" s="1" t="s">
        <v>3</v>
      </c>
      <c r="D35" s="29"/>
      <c r="F35" s="17"/>
    </row>
    <row r="36" spans="2:6" ht="15" thickBot="1" x14ac:dyDescent="0.4">
      <c r="B36" s="18"/>
      <c r="C36" s="3"/>
      <c r="D36" s="16"/>
      <c r="F36" s="17"/>
    </row>
    <row r="37" spans="2:6" ht="15" thickBot="1" x14ac:dyDescent="0.4">
      <c r="B37" s="21" t="s">
        <v>9</v>
      </c>
      <c r="C37" s="25">
        <f>SUM(C32:C36)</f>
        <v>6076</v>
      </c>
      <c r="D37" s="22"/>
      <c r="E37" s="23"/>
      <c r="F37" s="24"/>
    </row>
    <row r="38" spans="2:6" ht="15" thickBot="1" x14ac:dyDescent="0.4"/>
    <row r="39" spans="2:6" ht="16" thickBot="1" x14ac:dyDescent="0.4">
      <c r="B39" s="47">
        <v>45839</v>
      </c>
      <c r="C39" s="48"/>
      <c r="D39" s="48"/>
      <c r="E39" s="48"/>
      <c r="F39" s="49"/>
    </row>
    <row r="40" spans="2:6" ht="16" thickBot="1" x14ac:dyDescent="0.4">
      <c r="B40" s="50" t="s">
        <v>0</v>
      </c>
      <c r="C40" s="51"/>
      <c r="D40" s="52"/>
      <c r="E40" s="53" t="s">
        <v>7</v>
      </c>
      <c r="F40" s="52"/>
    </row>
    <row r="41" spans="2:6" x14ac:dyDescent="0.35">
      <c r="B41" s="13" t="s">
        <v>0</v>
      </c>
      <c r="C41" s="7">
        <v>5500</v>
      </c>
      <c r="D41" s="14"/>
      <c r="E41" s="27">
        <v>45816</v>
      </c>
      <c r="F41" s="14">
        <v>4742</v>
      </c>
    </row>
    <row r="42" spans="2:6" ht="15" thickBot="1" x14ac:dyDescent="0.4">
      <c r="B42" s="15" t="s">
        <v>5</v>
      </c>
      <c r="C42" s="1">
        <f>F43*12</f>
        <v>456</v>
      </c>
      <c r="D42" s="29"/>
      <c r="E42" s="27">
        <v>45785</v>
      </c>
      <c r="F42" s="14">
        <v>4704</v>
      </c>
    </row>
    <row r="43" spans="2:6" ht="15" thickBot="1" x14ac:dyDescent="0.4">
      <c r="B43" s="15" t="s">
        <v>6</v>
      </c>
      <c r="C43" s="1">
        <v>60</v>
      </c>
      <c r="D43" s="29"/>
      <c r="E43" s="28"/>
      <c r="F43" s="26">
        <f>F41-F42</f>
        <v>38</v>
      </c>
    </row>
    <row r="44" spans="2:6" x14ac:dyDescent="0.35">
      <c r="B44" s="15" t="s">
        <v>8</v>
      </c>
      <c r="C44" s="1">
        <v>70</v>
      </c>
      <c r="D44" s="29"/>
      <c r="F44" s="17"/>
    </row>
    <row r="45" spans="2:6" ht="15" thickBot="1" x14ac:dyDescent="0.4">
      <c r="B45" s="18"/>
      <c r="C45" s="3"/>
      <c r="D45" s="16"/>
      <c r="F45" s="17"/>
    </row>
    <row r="46" spans="2:6" ht="15" thickBot="1" x14ac:dyDescent="0.4">
      <c r="B46" s="21" t="s">
        <v>9</v>
      </c>
      <c r="C46" s="25">
        <f>SUM(C41:C45)</f>
        <v>6086</v>
      </c>
      <c r="D46" s="22"/>
      <c r="E46" s="23"/>
      <c r="F46" s="24"/>
    </row>
    <row r="47" spans="2:6" ht="15" thickBot="1" x14ac:dyDescent="0.4"/>
    <row r="48" spans="2:6" ht="16" thickBot="1" x14ac:dyDescent="0.4">
      <c r="B48" s="47">
        <v>45870</v>
      </c>
      <c r="C48" s="48"/>
      <c r="D48" s="48"/>
      <c r="E48" s="48"/>
      <c r="F48" s="49"/>
    </row>
    <row r="49" spans="2:6" ht="16" thickBot="1" x14ac:dyDescent="0.4">
      <c r="B49" s="50" t="s">
        <v>0</v>
      </c>
      <c r="C49" s="51"/>
      <c r="D49" s="52"/>
      <c r="E49" s="53" t="s">
        <v>7</v>
      </c>
      <c r="F49" s="52"/>
    </row>
    <row r="50" spans="2:6" x14ac:dyDescent="0.35">
      <c r="B50" s="13" t="s">
        <v>0</v>
      </c>
      <c r="C50" s="7">
        <v>5500</v>
      </c>
      <c r="D50" s="14"/>
      <c r="E50" s="27">
        <v>45877</v>
      </c>
      <c r="F50" s="14">
        <v>4787</v>
      </c>
    </row>
    <row r="51" spans="2:6" ht="15" thickBot="1" x14ac:dyDescent="0.4">
      <c r="B51" s="15" t="s">
        <v>5</v>
      </c>
      <c r="C51" s="1">
        <f>F52*12</f>
        <v>540</v>
      </c>
      <c r="D51" s="29"/>
      <c r="E51" s="27">
        <v>45846</v>
      </c>
      <c r="F51" s="14">
        <v>4742</v>
      </c>
    </row>
    <row r="52" spans="2:6" ht="15" thickBot="1" x14ac:dyDescent="0.4">
      <c r="B52" s="15" t="s">
        <v>6</v>
      </c>
      <c r="C52" s="1">
        <v>60</v>
      </c>
      <c r="D52" s="29"/>
      <c r="E52" s="28"/>
      <c r="F52" s="26">
        <f>F50-F51</f>
        <v>45</v>
      </c>
    </row>
    <row r="53" spans="2:6" x14ac:dyDescent="0.35">
      <c r="B53" s="15" t="s">
        <v>8</v>
      </c>
      <c r="C53" s="1">
        <v>0</v>
      </c>
      <c r="D53" s="29"/>
      <c r="F53" s="17"/>
    </row>
    <row r="54" spans="2:6" ht="15" thickBot="1" x14ac:dyDescent="0.4">
      <c r="B54" s="18"/>
      <c r="C54" s="3"/>
      <c r="D54" s="16"/>
      <c r="F54" s="17"/>
    </row>
    <row r="55" spans="2:6" ht="15" thickBot="1" x14ac:dyDescent="0.4">
      <c r="B55" s="21" t="s">
        <v>9</v>
      </c>
      <c r="C55" s="25">
        <f>SUM(C50:C54)</f>
        <v>6100</v>
      </c>
      <c r="D55" s="22"/>
      <c r="E55" s="23"/>
      <c r="F55" s="24"/>
    </row>
    <row r="56" spans="2:6" ht="15" thickBot="1" x14ac:dyDescent="0.4"/>
    <row r="57" spans="2:6" ht="16" thickBot="1" x14ac:dyDescent="0.4">
      <c r="B57" s="47">
        <v>45901</v>
      </c>
      <c r="C57" s="48"/>
      <c r="D57" s="48"/>
      <c r="E57" s="48"/>
      <c r="F57" s="49"/>
    </row>
    <row r="58" spans="2:6" ht="16" thickBot="1" x14ac:dyDescent="0.4">
      <c r="B58" s="50" t="s">
        <v>0</v>
      </c>
      <c r="C58" s="51"/>
      <c r="D58" s="52"/>
      <c r="E58" s="53" t="s">
        <v>7</v>
      </c>
      <c r="F58" s="52"/>
    </row>
    <row r="59" spans="2:6" x14ac:dyDescent="0.35">
      <c r="B59" s="13" t="s">
        <v>0</v>
      </c>
      <c r="C59" s="7">
        <v>5500</v>
      </c>
      <c r="D59" s="14"/>
      <c r="E59" s="27">
        <v>45938</v>
      </c>
      <c r="F59" s="14">
        <v>4826</v>
      </c>
    </row>
    <row r="60" spans="2:6" ht="15" thickBot="1" x14ac:dyDescent="0.4">
      <c r="B60" s="15" t="s">
        <v>5</v>
      </c>
      <c r="C60" s="1">
        <f>F61*12</f>
        <v>468</v>
      </c>
      <c r="D60" s="29"/>
      <c r="E60" s="27">
        <v>45908</v>
      </c>
      <c r="F60" s="14">
        <v>4787</v>
      </c>
    </row>
    <row r="61" spans="2:6" ht="15" thickBot="1" x14ac:dyDescent="0.4">
      <c r="B61" s="15" t="s">
        <v>6</v>
      </c>
      <c r="C61" s="1">
        <v>60</v>
      </c>
      <c r="D61" s="29"/>
      <c r="E61" s="28"/>
      <c r="F61" s="26">
        <f>F59-F60</f>
        <v>39</v>
      </c>
    </row>
    <row r="62" spans="2:6" x14ac:dyDescent="0.35">
      <c r="B62" s="15" t="s">
        <v>8</v>
      </c>
      <c r="C62" s="1">
        <v>180</v>
      </c>
      <c r="D62" s="29"/>
      <c r="F62" s="17"/>
    </row>
    <row r="63" spans="2:6" ht="15" thickBot="1" x14ac:dyDescent="0.4">
      <c r="B63" s="18"/>
      <c r="C63" s="3"/>
      <c r="D63" s="16"/>
      <c r="F63" s="17"/>
    </row>
    <row r="64" spans="2:6" ht="15" thickBot="1" x14ac:dyDescent="0.4">
      <c r="B64" s="21" t="s">
        <v>9</v>
      </c>
      <c r="C64" s="25">
        <f>SUM(C59:C63)</f>
        <v>6208</v>
      </c>
      <c r="D64" s="22"/>
      <c r="E64" s="23"/>
      <c r="F64" s="24"/>
    </row>
    <row r="65" spans="2:6" ht="15" thickBot="1" x14ac:dyDescent="0.4"/>
    <row r="66" spans="2:6" ht="16" thickBot="1" x14ac:dyDescent="0.4">
      <c r="B66" s="47">
        <v>45931</v>
      </c>
      <c r="C66" s="48"/>
      <c r="D66" s="48"/>
      <c r="E66" s="48"/>
      <c r="F66" s="49"/>
    </row>
    <row r="67" spans="2:6" ht="16" thickBot="1" x14ac:dyDescent="0.4">
      <c r="B67" s="50" t="s">
        <v>0</v>
      </c>
      <c r="C67" s="51"/>
      <c r="D67" s="52"/>
      <c r="E67" s="53" t="s">
        <v>7</v>
      </c>
      <c r="F67" s="52"/>
    </row>
    <row r="68" spans="2:6" x14ac:dyDescent="0.35">
      <c r="B68" s="13" t="s">
        <v>0</v>
      </c>
      <c r="C68" s="7">
        <v>5500</v>
      </c>
      <c r="D68" s="14"/>
      <c r="E68" s="27">
        <v>45969</v>
      </c>
      <c r="F68">
        <v>4876</v>
      </c>
    </row>
    <row r="69" spans="2:6" ht="15" thickBot="1" x14ac:dyDescent="0.4">
      <c r="B69" s="15" t="s">
        <v>5</v>
      </c>
      <c r="C69" s="1">
        <f>F70*12</f>
        <v>600</v>
      </c>
      <c r="D69" s="29"/>
      <c r="E69" s="27">
        <v>45938</v>
      </c>
      <c r="F69" s="14">
        <v>4826</v>
      </c>
    </row>
    <row r="70" spans="2:6" ht="15" thickBot="1" x14ac:dyDescent="0.4">
      <c r="B70" s="15" t="s">
        <v>6</v>
      </c>
      <c r="C70" s="1">
        <v>60</v>
      </c>
      <c r="D70" s="29"/>
      <c r="E70" s="28"/>
      <c r="F70" s="26">
        <f>F68-F69</f>
        <v>50</v>
      </c>
    </row>
    <row r="71" spans="2:6" x14ac:dyDescent="0.35">
      <c r="B71" s="15" t="s">
        <v>8</v>
      </c>
      <c r="C71" s="1">
        <v>0</v>
      </c>
      <c r="D71" s="29"/>
      <c r="F71" s="17"/>
    </row>
    <row r="72" spans="2:6" ht="15" thickBot="1" x14ac:dyDescent="0.4">
      <c r="B72" s="18"/>
      <c r="C72" s="3"/>
      <c r="D72" s="16"/>
      <c r="F72" s="17"/>
    </row>
    <row r="73" spans="2:6" ht="15" thickBot="1" x14ac:dyDescent="0.4">
      <c r="B73" s="21" t="s">
        <v>9</v>
      </c>
      <c r="C73" s="25">
        <f>SUM(C68:C72)</f>
        <v>6160</v>
      </c>
      <c r="D73" s="22"/>
      <c r="E73" s="23"/>
      <c r="F73" s="24"/>
    </row>
    <row r="74" spans="2:6" ht="15" thickBot="1" x14ac:dyDescent="0.4"/>
    <row r="75" spans="2:6" ht="16" thickBot="1" x14ac:dyDescent="0.4">
      <c r="B75" s="47">
        <v>45962</v>
      </c>
      <c r="C75" s="48"/>
      <c r="D75" s="48"/>
      <c r="E75" s="48"/>
      <c r="F75" s="49"/>
    </row>
    <row r="76" spans="2:6" ht="16" thickBot="1" x14ac:dyDescent="0.4">
      <c r="B76" s="50" t="s">
        <v>0</v>
      </c>
      <c r="C76" s="51"/>
      <c r="D76" s="52"/>
      <c r="E76" s="53" t="s">
        <v>7</v>
      </c>
      <c r="F76" s="52"/>
    </row>
    <row r="77" spans="2:6" x14ac:dyDescent="0.35">
      <c r="B77" s="13" t="s">
        <v>0</v>
      </c>
      <c r="C77" s="7">
        <v>5500</v>
      </c>
      <c r="D77" s="14"/>
      <c r="E77" s="27">
        <v>45969</v>
      </c>
      <c r="F77">
        <v>4876</v>
      </c>
    </row>
    <row r="78" spans="2:6" ht="15" thickBot="1" x14ac:dyDescent="0.4">
      <c r="B78" s="15" t="s">
        <v>5</v>
      </c>
      <c r="C78" s="1">
        <f>F79*12</f>
        <v>516</v>
      </c>
      <c r="D78" s="29"/>
      <c r="E78" s="27">
        <v>45999</v>
      </c>
      <c r="F78" s="14">
        <v>4919</v>
      </c>
    </row>
    <row r="79" spans="2:6" ht="15" thickBot="1" x14ac:dyDescent="0.4">
      <c r="B79" s="15" t="s">
        <v>6</v>
      </c>
      <c r="C79" s="1">
        <v>60</v>
      </c>
      <c r="D79" s="29"/>
      <c r="E79" s="28"/>
      <c r="F79" s="26">
        <f>F78-F77</f>
        <v>43</v>
      </c>
    </row>
    <row r="80" spans="2:6" x14ac:dyDescent="0.35">
      <c r="B80" s="15" t="s">
        <v>8</v>
      </c>
      <c r="C80" s="1">
        <v>0</v>
      </c>
      <c r="D80" s="29"/>
      <c r="F80" s="17"/>
    </row>
    <row r="81" spans="2:13" ht="15" thickBot="1" x14ac:dyDescent="0.4">
      <c r="B81" s="18"/>
      <c r="C81" s="3"/>
      <c r="D81" s="16"/>
      <c r="F81" s="17"/>
    </row>
    <row r="82" spans="2:13" ht="15" thickBot="1" x14ac:dyDescent="0.4">
      <c r="B82" s="21" t="s">
        <v>9</v>
      </c>
      <c r="C82" s="25">
        <f>SUM(C77:C81)</f>
        <v>6076</v>
      </c>
      <c r="D82" s="22"/>
      <c r="E82" s="23"/>
      <c r="F82" s="24"/>
    </row>
    <row r="83" spans="2:13" ht="15" thickBot="1" x14ac:dyDescent="0.4"/>
    <row r="84" spans="2:13" ht="16" thickBot="1" x14ac:dyDescent="0.4">
      <c r="B84" s="47">
        <v>45992</v>
      </c>
      <c r="C84" s="48"/>
      <c r="D84" s="48"/>
      <c r="E84" s="48"/>
      <c r="F84" s="49"/>
    </row>
    <row r="85" spans="2:13" ht="16" thickBot="1" x14ac:dyDescent="0.4">
      <c r="B85" s="50" t="s">
        <v>0</v>
      </c>
      <c r="C85" s="51"/>
      <c r="D85" s="52"/>
      <c r="E85" s="53" t="s">
        <v>7</v>
      </c>
      <c r="F85" s="52"/>
    </row>
    <row r="86" spans="2:13" x14ac:dyDescent="0.35">
      <c r="B86" s="13" t="s">
        <v>0</v>
      </c>
      <c r="C86" s="7">
        <v>5500</v>
      </c>
      <c r="D86" s="14"/>
      <c r="E86" s="27">
        <v>45999</v>
      </c>
      <c r="F86" s="14">
        <v>4919</v>
      </c>
      <c r="I86">
        <f>2000/8</f>
        <v>250</v>
      </c>
    </row>
    <row r="87" spans="2:13" ht="15" thickBot="1" x14ac:dyDescent="0.4">
      <c r="B87" s="15" t="s">
        <v>5</v>
      </c>
      <c r="C87" s="1">
        <f>F88*12</f>
        <v>468</v>
      </c>
      <c r="D87" s="29"/>
      <c r="E87" s="27">
        <v>46030</v>
      </c>
      <c r="F87" s="14">
        <v>4958</v>
      </c>
      <c r="I87">
        <f>1000/8</f>
        <v>125</v>
      </c>
      <c r="J87">
        <f>I87/2</f>
        <v>62.5</v>
      </c>
    </row>
    <row r="88" spans="2:13" ht="15" thickBot="1" x14ac:dyDescent="0.4">
      <c r="B88" s="15" t="s">
        <v>6</v>
      </c>
      <c r="C88" s="1">
        <v>60</v>
      </c>
      <c r="D88" s="29"/>
      <c r="E88" s="28"/>
      <c r="F88" s="26">
        <f>F87-F86</f>
        <v>39</v>
      </c>
    </row>
    <row r="89" spans="2:13" x14ac:dyDescent="0.35">
      <c r="B89" s="15" t="s">
        <v>8</v>
      </c>
      <c r="C89" s="1">
        <v>0</v>
      </c>
      <c r="D89" s="29"/>
      <c r="F89" s="17"/>
    </row>
    <row r="90" spans="2:13" ht="15" thickBot="1" x14ac:dyDescent="0.4">
      <c r="B90" s="18" t="s">
        <v>3</v>
      </c>
      <c r="C90" s="3" t="s">
        <v>3</v>
      </c>
      <c r="D90" s="16"/>
      <c r="F90" s="17"/>
    </row>
    <row r="91" spans="2:13" ht="15" thickBot="1" x14ac:dyDescent="0.4">
      <c r="B91" s="21" t="s">
        <v>9</v>
      </c>
      <c r="C91" s="25">
        <f>SUM(C86:C90)</f>
        <v>6028</v>
      </c>
      <c r="D91" s="22"/>
      <c r="E91" s="23"/>
      <c r="F91" s="24"/>
    </row>
    <row r="92" spans="2:13" ht="15" thickBot="1" x14ac:dyDescent="0.4"/>
    <row r="93" spans="2:13" ht="16" thickBot="1" x14ac:dyDescent="0.4">
      <c r="B93" s="47">
        <v>46030</v>
      </c>
      <c r="C93" s="48"/>
      <c r="D93" s="48"/>
      <c r="E93" s="48"/>
      <c r="F93" s="49"/>
      <c r="K93">
        <v>2000</v>
      </c>
      <c r="L93">
        <f>K93/8</f>
        <v>250</v>
      </c>
      <c r="M93">
        <v>100</v>
      </c>
    </row>
    <row r="94" spans="2:13" ht="16" thickBot="1" x14ac:dyDescent="0.4">
      <c r="B94" s="50" t="s">
        <v>0</v>
      </c>
      <c r="C94" s="51"/>
      <c r="D94" s="52"/>
      <c r="E94" s="53" t="s">
        <v>7</v>
      </c>
      <c r="F94" s="52"/>
      <c r="K94">
        <v>1000</v>
      </c>
      <c r="L94">
        <f>K94/8</f>
        <v>125</v>
      </c>
    </row>
    <row r="95" spans="2:13" x14ac:dyDescent="0.35">
      <c r="B95" s="13" t="s">
        <v>0</v>
      </c>
      <c r="C95" s="7">
        <v>5500</v>
      </c>
      <c r="D95" s="14"/>
      <c r="E95" s="27">
        <v>45999</v>
      </c>
      <c r="F95" s="14">
        <v>4958</v>
      </c>
    </row>
    <row r="96" spans="2:13" ht="15" thickBot="1" x14ac:dyDescent="0.4">
      <c r="B96" s="15" t="s">
        <v>5</v>
      </c>
      <c r="C96" s="1">
        <f>F97*12</f>
        <v>588</v>
      </c>
      <c r="D96" s="29"/>
      <c r="E96" s="27">
        <v>46030</v>
      </c>
      <c r="F96" s="14">
        <v>5007</v>
      </c>
    </row>
    <row r="97" spans="2:6" ht="15" thickBot="1" x14ac:dyDescent="0.4">
      <c r="B97" s="15" t="s">
        <v>6</v>
      </c>
      <c r="C97" s="1">
        <v>60</v>
      </c>
      <c r="D97" s="29"/>
      <c r="E97" s="28"/>
      <c r="F97" s="26">
        <f>F96-F95</f>
        <v>49</v>
      </c>
    </row>
    <row r="98" spans="2:6" x14ac:dyDescent="0.35">
      <c r="B98" s="15" t="s">
        <v>16</v>
      </c>
      <c r="C98" s="1">
        <v>100</v>
      </c>
      <c r="D98" s="29"/>
      <c r="F98" s="17"/>
    </row>
    <row r="99" spans="2:6" ht="15" thickBot="1" x14ac:dyDescent="0.4">
      <c r="B99" s="18" t="s">
        <v>3</v>
      </c>
      <c r="C99" s="3" t="s">
        <v>3</v>
      </c>
      <c r="D99" s="16"/>
      <c r="F99" s="17"/>
    </row>
    <row r="100" spans="2:6" ht="15" thickBot="1" x14ac:dyDescent="0.4">
      <c r="B100" s="21" t="s">
        <v>9</v>
      </c>
      <c r="C100" s="25">
        <f>SUM(C95:C99)</f>
        <v>6248</v>
      </c>
      <c r="D100" s="22"/>
      <c r="E100" s="23"/>
      <c r="F100" s="24"/>
    </row>
    <row r="102" spans="2:6" ht="15" thickBot="1" x14ac:dyDescent="0.4"/>
    <row r="103" spans="2:6" ht="16" thickBot="1" x14ac:dyDescent="0.4">
      <c r="B103" s="47">
        <v>46061</v>
      </c>
      <c r="C103" s="48"/>
      <c r="D103" s="48"/>
      <c r="E103" s="48"/>
      <c r="F103" s="49"/>
    </row>
    <row r="104" spans="2:6" ht="16" thickBot="1" x14ac:dyDescent="0.4">
      <c r="B104" s="50" t="s">
        <v>0</v>
      </c>
      <c r="C104" s="51"/>
      <c r="D104" s="52"/>
      <c r="E104" s="53" t="s">
        <v>7</v>
      </c>
      <c r="F104" s="52"/>
    </row>
    <row r="105" spans="2:6" x14ac:dyDescent="0.35">
      <c r="B105" s="13" t="s">
        <v>0</v>
      </c>
      <c r="C105" s="7">
        <v>5500</v>
      </c>
      <c r="D105" s="14"/>
      <c r="E105" s="27">
        <v>46030</v>
      </c>
      <c r="F105" s="14">
        <v>5007</v>
      </c>
    </row>
    <row r="106" spans="2:6" ht="15" thickBot="1" x14ac:dyDescent="0.4">
      <c r="B106" s="15" t="s">
        <v>5</v>
      </c>
      <c r="C106" s="1">
        <f>F107*12</f>
        <v>588</v>
      </c>
      <c r="D106" s="29"/>
      <c r="E106" s="27">
        <v>46095</v>
      </c>
      <c r="F106" s="14">
        <v>5056</v>
      </c>
    </row>
    <row r="107" spans="2:6" ht="15" thickBot="1" x14ac:dyDescent="0.4">
      <c r="B107" s="15" t="s">
        <v>6</v>
      </c>
      <c r="C107" s="1">
        <v>60</v>
      </c>
      <c r="D107" s="29"/>
      <c r="E107" s="28"/>
      <c r="F107" s="26">
        <f>F106-F105</f>
        <v>49</v>
      </c>
    </row>
    <row r="108" spans="2:6" x14ac:dyDescent="0.35">
      <c r="B108" s="15" t="s">
        <v>16</v>
      </c>
      <c r="C108" s="1">
        <v>100</v>
      </c>
      <c r="D108" s="29"/>
      <c r="F108" s="17"/>
    </row>
    <row r="109" spans="2:6" ht="15" thickBot="1" x14ac:dyDescent="0.4">
      <c r="B109" s="18" t="s">
        <v>3</v>
      </c>
      <c r="C109" s="3" t="s">
        <v>3</v>
      </c>
      <c r="D109" s="16"/>
      <c r="F109" s="17"/>
    </row>
    <row r="110" spans="2:6" ht="15" thickBot="1" x14ac:dyDescent="0.4">
      <c r="B110" s="21" t="s">
        <v>9</v>
      </c>
      <c r="C110" s="25">
        <f>SUM(C105:C109)</f>
        <v>6248</v>
      </c>
      <c r="D110" s="22"/>
      <c r="E110" s="23"/>
      <c r="F110" s="24"/>
    </row>
    <row r="111" spans="2:6" ht="15" thickBot="1" x14ac:dyDescent="0.4"/>
    <row r="112" spans="2:6" ht="16" thickBot="1" x14ac:dyDescent="0.4">
      <c r="B112" s="47">
        <v>46089</v>
      </c>
      <c r="C112" s="48"/>
      <c r="D112" s="48"/>
      <c r="E112" s="48"/>
      <c r="F112" s="49"/>
    </row>
    <row r="113" spans="2:6" ht="16" thickBot="1" x14ac:dyDescent="0.4">
      <c r="B113" s="50" t="s">
        <v>0</v>
      </c>
      <c r="C113" s="51"/>
      <c r="D113" s="52"/>
      <c r="E113" s="53" t="s">
        <v>7</v>
      </c>
      <c r="F113" s="52"/>
    </row>
    <row r="114" spans="2:6" x14ac:dyDescent="0.35">
      <c r="B114" s="13" t="s">
        <v>0</v>
      </c>
      <c r="C114" s="7">
        <f>5500/2</f>
        <v>2750</v>
      </c>
      <c r="D114" s="14"/>
      <c r="E114" s="27">
        <v>46061</v>
      </c>
      <c r="F114" s="14">
        <v>0</v>
      </c>
    </row>
    <row r="115" spans="2:6" ht="15" thickBot="1" x14ac:dyDescent="0.4">
      <c r="B115" s="15" t="s">
        <v>5</v>
      </c>
      <c r="C115" s="1">
        <v>0</v>
      </c>
      <c r="D115" s="29"/>
      <c r="E115" s="27">
        <v>46095</v>
      </c>
      <c r="F115" s="14">
        <v>0</v>
      </c>
    </row>
    <row r="116" spans="2:6" ht="15" thickBot="1" x14ac:dyDescent="0.4">
      <c r="B116" s="15" t="s">
        <v>6</v>
      </c>
      <c r="C116" s="1">
        <f>60/2</f>
        <v>30</v>
      </c>
      <c r="D116" s="29"/>
      <c r="E116" s="28"/>
      <c r="F116" s="26">
        <f>F115-F114</f>
        <v>0</v>
      </c>
    </row>
    <row r="117" spans="2:6" x14ac:dyDescent="0.35">
      <c r="B117" s="15" t="s">
        <v>16</v>
      </c>
      <c r="C117" s="1">
        <f>100/2</f>
        <v>50</v>
      </c>
      <c r="D117" s="29"/>
      <c r="F117" s="17"/>
    </row>
    <row r="118" spans="2:6" ht="15" thickBot="1" x14ac:dyDescent="0.4">
      <c r="B118" s="18" t="s">
        <v>3</v>
      </c>
      <c r="C118" s="3" t="s">
        <v>3</v>
      </c>
      <c r="D118" s="16"/>
      <c r="F118" s="17"/>
    </row>
    <row r="119" spans="2:6" ht="15" thickBot="1" x14ac:dyDescent="0.4">
      <c r="B119" s="21" t="s">
        <v>9</v>
      </c>
      <c r="C119" s="25">
        <f>SUM(C114:C118)</f>
        <v>2830</v>
      </c>
      <c r="D119" s="22"/>
      <c r="E119" s="23"/>
      <c r="F119" s="24"/>
    </row>
    <row r="121" spans="2:6" x14ac:dyDescent="0.35">
      <c r="B121" s="2" t="s">
        <v>4</v>
      </c>
      <c r="C121" s="2">
        <f>C110+C119</f>
        <v>9078</v>
      </c>
    </row>
    <row r="122" spans="2:6" ht="15" thickBot="1" x14ac:dyDescent="0.4">
      <c r="B122" t="s">
        <v>2</v>
      </c>
      <c r="C122">
        <v>10000</v>
      </c>
    </row>
    <row r="123" spans="2:6" ht="15" thickBot="1" x14ac:dyDescent="0.4">
      <c r="B123" s="38" t="s">
        <v>17</v>
      </c>
      <c r="C123" s="39">
        <f>C122-C121</f>
        <v>922</v>
      </c>
    </row>
  </sheetData>
  <mergeCells count="39">
    <mergeCell ref="B30:F30"/>
    <mergeCell ref="B22:D22"/>
    <mergeCell ref="E22:F22"/>
    <mergeCell ref="B21:F21"/>
    <mergeCell ref="B103:F103"/>
    <mergeCell ref="B84:F84"/>
    <mergeCell ref="B85:D85"/>
    <mergeCell ref="E85:F85"/>
    <mergeCell ref="B93:F93"/>
    <mergeCell ref="B94:D94"/>
    <mergeCell ref="E94:F94"/>
    <mergeCell ref="B66:F66"/>
    <mergeCell ref="B67:D67"/>
    <mergeCell ref="E67:F67"/>
    <mergeCell ref="B39:F39"/>
    <mergeCell ref="B40:D40"/>
    <mergeCell ref="E3:F3"/>
    <mergeCell ref="B3:D3"/>
    <mergeCell ref="B2:F2"/>
    <mergeCell ref="B12:F12"/>
    <mergeCell ref="B13:D13"/>
    <mergeCell ref="E13:F13"/>
    <mergeCell ref="E40:F40"/>
    <mergeCell ref="B31:D31"/>
    <mergeCell ref="E31:F31"/>
    <mergeCell ref="B57:F57"/>
    <mergeCell ref="B58:D58"/>
    <mergeCell ref="E58:F58"/>
    <mergeCell ref="B48:F48"/>
    <mergeCell ref="B49:D49"/>
    <mergeCell ref="E49:F49"/>
    <mergeCell ref="B112:F112"/>
    <mergeCell ref="B113:D113"/>
    <mergeCell ref="E113:F113"/>
    <mergeCell ref="B75:F75"/>
    <mergeCell ref="B76:D76"/>
    <mergeCell ref="E76:F76"/>
    <mergeCell ref="B104:D104"/>
    <mergeCell ref="E104:F10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82802-BBCC-48B6-BB9B-C491FAB48433}">
  <dimension ref="B2:I16"/>
  <sheetViews>
    <sheetView workbookViewId="0">
      <selection activeCell="J17" sqref="J17"/>
    </sheetView>
  </sheetViews>
  <sheetFormatPr defaultRowHeight="14.5" x14ac:dyDescent="0.35"/>
  <cols>
    <col min="4" max="4" width="9.26953125" bestFit="1" customWidth="1"/>
    <col min="5" max="5" width="6.81640625" bestFit="1" customWidth="1"/>
    <col min="7" max="7" width="9.26953125" bestFit="1" customWidth="1"/>
    <col min="9" max="9" width="6.81640625" bestFit="1" customWidth="1"/>
  </cols>
  <sheetData>
    <row r="2" spans="2:9" x14ac:dyDescent="0.35">
      <c r="B2" t="s">
        <v>13</v>
      </c>
    </row>
    <row r="3" spans="2:9" x14ac:dyDescent="0.35">
      <c r="C3" s="32" t="s">
        <v>11</v>
      </c>
      <c r="D3" s="32" t="s">
        <v>0</v>
      </c>
      <c r="E3" s="34" t="s">
        <v>4</v>
      </c>
      <c r="F3" s="31"/>
      <c r="G3" s="32" t="s">
        <v>11</v>
      </c>
      <c r="H3" s="32" t="s">
        <v>0</v>
      </c>
      <c r="I3" s="34" t="s">
        <v>4</v>
      </c>
    </row>
    <row r="4" spans="2:9" x14ac:dyDescent="0.35">
      <c r="C4" s="33">
        <v>2</v>
      </c>
      <c r="D4" s="33">
        <v>0</v>
      </c>
      <c r="E4" s="33">
        <v>0</v>
      </c>
      <c r="F4" s="30"/>
      <c r="G4" s="33"/>
      <c r="H4" s="33"/>
      <c r="I4" s="33"/>
    </row>
    <row r="5" spans="2:9" x14ac:dyDescent="0.35">
      <c r="C5" s="33">
        <v>2</v>
      </c>
      <c r="D5" s="33">
        <v>40000</v>
      </c>
      <c r="E5" s="33">
        <f>D5*C5</f>
        <v>80000</v>
      </c>
      <c r="F5" s="30"/>
      <c r="G5" s="33"/>
      <c r="H5" s="33"/>
      <c r="I5" s="33"/>
    </row>
    <row r="6" spans="2:9" x14ac:dyDescent="0.35">
      <c r="C6" s="33">
        <v>8</v>
      </c>
      <c r="D6" s="33">
        <v>45000</v>
      </c>
      <c r="E6" s="33">
        <f>D6*C6</f>
        <v>360000</v>
      </c>
      <c r="F6" s="30"/>
      <c r="G6" s="33">
        <v>12</v>
      </c>
      <c r="H6" s="33">
        <v>60000</v>
      </c>
      <c r="I6" s="33">
        <f>H6*G6</f>
        <v>720000</v>
      </c>
    </row>
    <row r="7" spans="2:9" x14ac:dyDescent="0.35">
      <c r="C7" s="33"/>
      <c r="D7" s="33" t="s">
        <v>1</v>
      </c>
      <c r="E7" s="33">
        <v>-50000</v>
      </c>
      <c r="F7" s="30"/>
      <c r="G7" s="33"/>
      <c r="H7" s="33" t="s">
        <v>1</v>
      </c>
      <c r="I7" s="33">
        <v>0</v>
      </c>
    </row>
    <row r="9" spans="2:9" x14ac:dyDescent="0.35">
      <c r="D9" s="1" t="s">
        <v>9</v>
      </c>
      <c r="E9" s="1">
        <f>SUM(E4:E7)</f>
        <v>390000</v>
      </c>
      <c r="G9" s="1" t="s">
        <v>9</v>
      </c>
      <c r="H9" s="1">
        <f>I6</f>
        <v>720000</v>
      </c>
    </row>
    <row r="11" spans="2:9" x14ac:dyDescent="0.35">
      <c r="E11" s="35" t="s">
        <v>12</v>
      </c>
      <c r="F11" s="1">
        <f>I6-E9</f>
        <v>330000</v>
      </c>
    </row>
    <row r="13" spans="2:9" x14ac:dyDescent="0.35">
      <c r="B13" t="s">
        <v>14</v>
      </c>
      <c r="C13" s="32" t="s">
        <v>11</v>
      </c>
      <c r="D13" s="32" t="s">
        <v>0</v>
      </c>
      <c r="E13" s="34" t="s">
        <v>4</v>
      </c>
      <c r="G13" s="32" t="s">
        <v>11</v>
      </c>
      <c r="H13" s="32" t="s">
        <v>0</v>
      </c>
      <c r="I13" s="34" t="s">
        <v>4</v>
      </c>
    </row>
    <row r="14" spans="2:9" x14ac:dyDescent="0.35">
      <c r="C14" s="1">
        <v>12</v>
      </c>
      <c r="D14" s="1">
        <f>45000+(45000*10%)</f>
        <v>49500</v>
      </c>
      <c r="E14" s="1">
        <f>D14*C14</f>
        <v>594000</v>
      </c>
      <c r="G14" s="1">
        <v>12</v>
      </c>
      <c r="H14" s="1">
        <f>60000+(60000*10%)</f>
        <v>66000</v>
      </c>
      <c r="I14" s="1">
        <f>H14*G14</f>
        <v>792000</v>
      </c>
    </row>
    <row r="16" spans="2:9" x14ac:dyDescent="0.35">
      <c r="E16" s="35" t="s">
        <v>12</v>
      </c>
      <c r="F16" s="1">
        <f>I14-E14</f>
        <v>198000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GF-1RK-Kale</vt:lpstr>
      <vt:lpstr>2F-1RK Dole</vt:lpstr>
      <vt:lpstr>2F- 1RK-Darade</vt:lpstr>
      <vt:lpstr>2F-1RK Jagtap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Gavali, Amol S</dc:creator>
  <cp:lastModifiedBy>Gavali, Amol S</cp:lastModifiedBy>
  <dcterms:created xsi:type="dcterms:W3CDTF">2020-09-02T10:35:00Z</dcterms:created>
  <dcterms:modified xsi:type="dcterms:W3CDTF">2026-09-17T11:02:27Z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418558-72e5-4d8e-958f-cfe0e73e210d_Enabled">
    <vt:lpwstr>true</vt:lpwstr>
  </property>
  <property fmtid="{D5CDD505-2E9C-101B-9397-08002B2CF9AE}" pid="3" name="MSIP_Label_ff418558-72e5-4d8e-958f-cfe0e73e210d_SetDate">
    <vt:lpwstr>2025-05-08T05:18:28Z</vt:lpwstr>
  </property>
  <property fmtid="{D5CDD505-2E9C-101B-9397-08002B2CF9AE}" pid="4" name="MSIP_Label_ff418558-72e5-4d8e-958f-cfe0e73e210d_Method">
    <vt:lpwstr>Standard</vt:lpwstr>
  </property>
  <property fmtid="{D5CDD505-2E9C-101B-9397-08002B2CF9AE}" pid="5" name="MSIP_Label_ff418558-72e5-4d8e-958f-cfe0e73e210d_Name">
    <vt:lpwstr>Eaton Internal Only (IP2)</vt:lpwstr>
  </property>
  <property fmtid="{D5CDD505-2E9C-101B-9397-08002B2CF9AE}" pid="6" name="MSIP_Label_ff418558-72e5-4d8e-958f-cfe0e73e210d_SiteId">
    <vt:lpwstr>d6525c95-b906-431a-b926-e9b51ba43cc4</vt:lpwstr>
  </property>
  <property fmtid="{D5CDD505-2E9C-101B-9397-08002B2CF9AE}" pid="7" name="MSIP_Label_ff418558-72e5-4d8e-958f-cfe0e73e210d_ActionId">
    <vt:lpwstr>027d8016-14e1-4c86-a2d6-9a458ed14e82</vt:lpwstr>
  </property>
  <property fmtid="{D5CDD505-2E9C-101B-9397-08002B2CF9AE}" pid="8" name="MSIP_Label_ff418558-72e5-4d8e-958f-cfe0e73e210d_ContentBits">
    <vt:lpwstr>0</vt:lpwstr>
  </property>
  <property fmtid="{D5CDD505-2E9C-101B-9397-08002B2CF9AE}" pid="9" name="MSIP_Label_ff418558-72e5-4d8e-958f-cfe0e73e210d_Tag">
    <vt:lpwstr>10, 3, 0, 1</vt:lpwstr>
  </property>
</Properties>
</file>